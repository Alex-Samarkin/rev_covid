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760" windowHeight="1080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B43" i="1" l="1"/>
  <c r="D43" i="1"/>
  <c r="H43" i="1"/>
  <c r="N43" i="1"/>
  <c r="AI43" i="1"/>
  <c r="B42" i="1" l="1"/>
  <c r="D42" i="1"/>
  <c r="H42" i="1"/>
  <c r="N42" i="1"/>
  <c r="AI42" i="1"/>
  <c r="AI38" i="1" l="1"/>
  <c r="AI36" i="1"/>
  <c r="AI41" i="1"/>
  <c r="N41" i="1"/>
  <c r="N40" i="1"/>
  <c r="H41" i="1"/>
  <c r="H40" i="1"/>
  <c r="D41" i="1"/>
  <c r="B41" i="1"/>
  <c r="D40" i="1" l="1"/>
  <c r="B40" i="1"/>
</calcChain>
</file>

<file path=xl/sharedStrings.xml><?xml version="1.0" encoding="utf-8"?>
<sst xmlns="http://schemas.openxmlformats.org/spreadsheetml/2006/main" count="75" uniqueCount="47">
  <si>
    <t>Субъект</t>
  </si>
  <si>
    <t>Число больных COVID-19</t>
  </si>
  <si>
    <t>Темп прироста (за неделю)</t>
  </si>
  <si>
    <t>Клиническая форма</t>
  </si>
  <si>
    <t>Течение заболевания, формы тяжести</t>
  </si>
  <si>
    <t>Возрастные группы за неделю (чел.)</t>
  </si>
  <si>
    <t>Социальный статус за неделю (чел.)</t>
  </si>
  <si>
    <t>Число медицинских работников инфицированных COVID-19</t>
  </si>
  <si>
    <t>Место инфицирования (источник) за неделю (чел.)</t>
  </si>
  <si>
    <t>Число летальных исходов с положительным COVID-19</t>
  </si>
  <si>
    <t>без признаков</t>
  </si>
  <si>
    <t>с признаками заболевания</t>
  </si>
  <si>
    <t>до года, всего (абс.)</t>
  </si>
  <si>
    <t>1-6 лет, всего (абс.)</t>
  </si>
  <si>
    <t>7-14 лет, всего (абс.)</t>
  </si>
  <si>
    <t>15-17 лет, всего (абс.)</t>
  </si>
  <si>
    <t>18-29 лет, всего (абс.)</t>
  </si>
  <si>
    <t>30-49 лет, всего (абс.)</t>
  </si>
  <si>
    <t>50-64 года, всего (абс.)</t>
  </si>
  <si>
    <t>65 лет и старше, всего (абс.)</t>
  </si>
  <si>
    <t>воспитанник/учащийся, всего (абс.)</t>
  </si>
  <si>
    <t>рабочий, всего (абс.)</t>
  </si>
  <si>
    <t>служащий, всего (абс.)</t>
  </si>
  <si>
    <t>пенсионер, всего (абс.)</t>
  </si>
  <si>
    <t>работник мед.организации, всего (абс.)</t>
  </si>
  <si>
    <t>представитель силовых структур, всего (абс.)</t>
  </si>
  <si>
    <t>другое, всего (абс.)</t>
  </si>
  <si>
    <t>нарастающий итог</t>
  </si>
  <si>
    <t>в т.ч. за неделю</t>
  </si>
  <si>
    <t>Завозные случаи, всего (абс.)</t>
  </si>
  <si>
    <t>имел контакт</t>
  </si>
  <si>
    <t>контакт не установлен</t>
  </si>
  <si>
    <t>всего (абс.) с нарастающим итогом</t>
  </si>
  <si>
    <t>в т.ч. за неделю (абс.)</t>
  </si>
  <si>
    <t>из них возрастные группы за неделю (чел)</t>
  </si>
  <si>
    <t>плюс (%)</t>
  </si>
  <si>
    <t>минус (%)</t>
  </si>
  <si>
    <t>бессимптомные</t>
  </si>
  <si>
    <t>ОРВИ</t>
  </si>
  <si>
    <t>пневмонии</t>
  </si>
  <si>
    <t>Бессимптомная форма</t>
  </si>
  <si>
    <t>легкая</t>
  </si>
  <si>
    <t>средней тяжести</t>
  </si>
  <si>
    <t>тяжелая</t>
  </si>
  <si>
    <t>в медицинской организации, всего (абс.)</t>
  </si>
  <si>
    <t>в прочих организациях, всего (абс.)</t>
  </si>
  <si>
    <t>в семье/близком окружении, всего (абс.)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</si>
</sst>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C0B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  <border>
      <left style="medium">
        <color rgb="FF888888"/>
      </left>
      <right style="medium">
        <color rgb="FF888888"/>
      </right>
      <top/>
      <bottom/>
      <diagonal/>
    </border>
    <border>
      <left style="medium">
        <color rgb="FF888888"/>
      </left>
      <right/>
      <top style="medium">
        <color rgb="FF888888"/>
      </top>
      <bottom/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 style="medium">
        <color rgb="FF888888"/>
      </left>
      <right/>
      <top/>
      <bottom style="medium">
        <color rgb="FF888888"/>
      </bottom>
      <diagonal/>
    </border>
    <border>
      <left/>
      <right style="medium">
        <color rgb="FF888888"/>
      </right>
      <top/>
      <bottom style="medium">
        <color rgb="FF888888"/>
      </bottom>
      <diagonal/>
    </border>
    <border>
      <left/>
      <right/>
      <top style="medium">
        <color rgb="FF888888"/>
      </top>
      <bottom/>
      <diagonal/>
    </border>
    <border>
      <left/>
      <right/>
      <top/>
      <bottom style="medium">
        <color rgb="FF888888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12" xfId="0" applyNumberFormat="1" applyBorder="1"/>
    <xf numFmtId="0" fontId="0" fillId="0" borderId="12" xfId="0" applyBorder="1"/>
    <xf numFmtId="0" fontId="0" fillId="3" borderId="12" xfId="0" applyFill="1" applyBorder="1"/>
    <xf numFmtId="0" fontId="0" fillId="4" borderId="12" xfId="0" applyFill="1" applyBorder="1"/>
    <xf numFmtId="0" fontId="0" fillId="0" borderId="12" xfId="0" applyFill="1" applyBorder="1"/>
    <xf numFmtId="0" fontId="0" fillId="5" borderId="12" xfId="0" applyFill="1" applyBorder="1"/>
    <xf numFmtId="0" fontId="2" fillId="0" borderId="12" xfId="0" applyFont="1" applyBorder="1"/>
    <xf numFmtId="0" fontId="0" fillId="6" borderId="12" xfId="0" applyFill="1" applyBorder="1"/>
    <xf numFmtId="2" fontId="0" fillId="0" borderId="12" xfId="0" applyNumberFormat="1" applyBorder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40.emf"/><Relationship Id="rId18" Type="http://schemas.openxmlformats.org/officeDocument/2006/relationships/image" Target="../media/image35.emf"/><Relationship Id="rId26" Type="http://schemas.openxmlformats.org/officeDocument/2006/relationships/image" Target="../media/image27.emf"/><Relationship Id="rId39" Type="http://schemas.openxmlformats.org/officeDocument/2006/relationships/image" Target="../media/image14.emf"/><Relationship Id="rId3" Type="http://schemas.openxmlformats.org/officeDocument/2006/relationships/image" Target="../media/image50.emf"/><Relationship Id="rId21" Type="http://schemas.openxmlformats.org/officeDocument/2006/relationships/image" Target="../media/image32.emf"/><Relationship Id="rId34" Type="http://schemas.openxmlformats.org/officeDocument/2006/relationships/image" Target="../media/image19.emf"/><Relationship Id="rId42" Type="http://schemas.openxmlformats.org/officeDocument/2006/relationships/image" Target="../media/image11.emf"/><Relationship Id="rId47" Type="http://schemas.openxmlformats.org/officeDocument/2006/relationships/image" Target="../media/image6.emf"/><Relationship Id="rId50" Type="http://schemas.openxmlformats.org/officeDocument/2006/relationships/image" Target="../media/image3.emf"/><Relationship Id="rId7" Type="http://schemas.openxmlformats.org/officeDocument/2006/relationships/image" Target="../media/image46.emf"/><Relationship Id="rId12" Type="http://schemas.openxmlformats.org/officeDocument/2006/relationships/image" Target="../media/image41.emf"/><Relationship Id="rId17" Type="http://schemas.openxmlformats.org/officeDocument/2006/relationships/image" Target="../media/image36.emf"/><Relationship Id="rId25" Type="http://schemas.openxmlformats.org/officeDocument/2006/relationships/image" Target="../media/image28.emf"/><Relationship Id="rId33" Type="http://schemas.openxmlformats.org/officeDocument/2006/relationships/image" Target="../media/image20.emf"/><Relationship Id="rId38" Type="http://schemas.openxmlformats.org/officeDocument/2006/relationships/image" Target="../media/image15.emf"/><Relationship Id="rId46" Type="http://schemas.openxmlformats.org/officeDocument/2006/relationships/image" Target="../media/image7.emf"/><Relationship Id="rId2" Type="http://schemas.openxmlformats.org/officeDocument/2006/relationships/image" Target="../media/image51.emf"/><Relationship Id="rId16" Type="http://schemas.openxmlformats.org/officeDocument/2006/relationships/image" Target="../media/image37.emf"/><Relationship Id="rId20" Type="http://schemas.openxmlformats.org/officeDocument/2006/relationships/image" Target="../media/image33.emf"/><Relationship Id="rId29" Type="http://schemas.openxmlformats.org/officeDocument/2006/relationships/image" Target="../media/image24.emf"/><Relationship Id="rId41" Type="http://schemas.openxmlformats.org/officeDocument/2006/relationships/image" Target="../media/image12.emf"/><Relationship Id="rId1" Type="http://schemas.openxmlformats.org/officeDocument/2006/relationships/image" Target="../media/image52.emf"/><Relationship Id="rId6" Type="http://schemas.openxmlformats.org/officeDocument/2006/relationships/image" Target="../media/image47.emf"/><Relationship Id="rId11" Type="http://schemas.openxmlformats.org/officeDocument/2006/relationships/image" Target="../media/image42.emf"/><Relationship Id="rId24" Type="http://schemas.openxmlformats.org/officeDocument/2006/relationships/image" Target="../media/image29.emf"/><Relationship Id="rId32" Type="http://schemas.openxmlformats.org/officeDocument/2006/relationships/image" Target="../media/image21.emf"/><Relationship Id="rId37" Type="http://schemas.openxmlformats.org/officeDocument/2006/relationships/image" Target="../media/image16.emf"/><Relationship Id="rId40" Type="http://schemas.openxmlformats.org/officeDocument/2006/relationships/image" Target="../media/image13.emf"/><Relationship Id="rId45" Type="http://schemas.openxmlformats.org/officeDocument/2006/relationships/image" Target="../media/image8.emf"/><Relationship Id="rId5" Type="http://schemas.openxmlformats.org/officeDocument/2006/relationships/image" Target="../media/image48.emf"/><Relationship Id="rId15" Type="http://schemas.openxmlformats.org/officeDocument/2006/relationships/image" Target="../media/image38.emf"/><Relationship Id="rId23" Type="http://schemas.openxmlformats.org/officeDocument/2006/relationships/image" Target="../media/image30.emf"/><Relationship Id="rId28" Type="http://schemas.openxmlformats.org/officeDocument/2006/relationships/image" Target="../media/image25.emf"/><Relationship Id="rId36" Type="http://schemas.openxmlformats.org/officeDocument/2006/relationships/image" Target="../media/image17.emf"/><Relationship Id="rId49" Type="http://schemas.openxmlformats.org/officeDocument/2006/relationships/image" Target="../media/image4.emf"/><Relationship Id="rId10" Type="http://schemas.openxmlformats.org/officeDocument/2006/relationships/image" Target="../media/image43.emf"/><Relationship Id="rId19" Type="http://schemas.openxmlformats.org/officeDocument/2006/relationships/image" Target="../media/image34.emf"/><Relationship Id="rId31" Type="http://schemas.openxmlformats.org/officeDocument/2006/relationships/image" Target="../media/image22.emf"/><Relationship Id="rId44" Type="http://schemas.openxmlformats.org/officeDocument/2006/relationships/image" Target="../media/image9.emf"/><Relationship Id="rId52" Type="http://schemas.openxmlformats.org/officeDocument/2006/relationships/image" Target="../media/image1.emf"/><Relationship Id="rId4" Type="http://schemas.openxmlformats.org/officeDocument/2006/relationships/image" Target="../media/image49.emf"/><Relationship Id="rId9" Type="http://schemas.openxmlformats.org/officeDocument/2006/relationships/image" Target="../media/image44.emf"/><Relationship Id="rId14" Type="http://schemas.openxmlformats.org/officeDocument/2006/relationships/image" Target="../media/image39.emf"/><Relationship Id="rId22" Type="http://schemas.openxmlformats.org/officeDocument/2006/relationships/image" Target="../media/image31.emf"/><Relationship Id="rId27" Type="http://schemas.openxmlformats.org/officeDocument/2006/relationships/image" Target="../media/image26.emf"/><Relationship Id="rId30" Type="http://schemas.openxmlformats.org/officeDocument/2006/relationships/image" Target="../media/image23.emf"/><Relationship Id="rId35" Type="http://schemas.openxmlformats.org/officeDocument/2006/relationships/image" Target="../media/image18.emf"/><Relationship Id="rId43" Type="http://schemas.openxmlformats.org/officeDocument/2006/relationships/image" Target="../media/image10.emf"/><Relationship Id="rId48" Type="http://schemas.openxmlformats.org/officeDocument/2006/relationships/image" Target="../media/image5.emf"/><Relationship Id="rId8" Type="http://schemas.openxmlformats.org/officeDocument/2006/relationships/image" Target="../media/image45.emf"/><Relationship Id="rId5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67118</xdr:rowOff>
        </xdr:from>
        <xdr:to>
          <xdr:col>0</xdr:col>
          <xdr:colOff>200025</xdr:colOff>
          <xdr:row>46</xdr:row>
          <xdr:rowOff>78858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2.xml"/><Relationship Id="rId21" Type="http://schemas.openxmlformats.org/officeDocument/2006/relationships/image" Target="../media/image9.emf"/><Relationship Id="rId42" Type="http://schemas.openxmlformats.org/officeDocument/2006/relationships/control" Target="../activeX/activeX20.xml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control" Target="../activeX/activeX33.xml"/><Relationship Id="rId84" Type="http://schemas.openxmlformats.org/officeDocument/2006/relationships/control" Target="../activeX/activeX41.xml"/><Relationship Id="rId89" Type="http://schemas.openxmlformats.org/officeDocument/2006/relationships/image" Target="../media/image43.emf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control" Target="../activeX/activeX45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9" Type="http://schemas.openxmlformats.org/officeDocument/2006/relationships/image" Target="../media/image13.emf"/><Relationship Id="rId107" Type="http://schemas.openxmlformats.org/officeDocument/2006/relationships/image" Target="../media/image52.emf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53" Type="http://schemas.openxmlformats.org/officeDocument/2006/relationships/image" Target="../media/image25.emf"/><Relationship Id="rId58" Type="http://schemas.openxmlformats.org/officeDocument/2006/relationships/control" Target="../activeX/activeX28.xml"/><Relationship Id="rId66" Type="http://schemas.openxmlformats.org/officeDocument/2006/relationships/control" Target="../activeX/activeX32.xml"/><Relationship Id="rId74" Type="http://schemas.openxmlformats.org/officeDocument/2006/relationships/control" Target="../activeX/activeX36.xml"/><Relationship Id="rId79" Type="http://schemas.openxmlformats.org/officeDocument/2006/relationships/image" Target="../media/image38.emf"/><Relationship Id="rId87" Type="http://schemas.openxmlformats.org/officeDocument/2006/relationships/image" Target="../media/image42.emf"/><Relationship Id="rId102" Type="http://schemas.openxmlformats.org/officeDocument/2006/relationships/control" Target="../activeX/activeX50.xml"/><Relationship Id="rId5" Type="http://schemas.openxmlformats.org/officeDocument/2006/relationships/image" Target="../media/image1.emf"/><Relationship Id="rId61" Type="http://schemas.openxmlformats.org/officeDocument/2006/relationships/image" Target="../media/image29.emf"/><Relationship Id="rId82" Type="http://schemas.openxmlformats.org/officeDocument/2006/relationships/control" Target="../activeX/activeX40.xml"/><Relationship Id="rId90" Type="http://schemas.openxmlformats.org/officeDocument/2006/relationships/control" Target="../activeX/activeX44.xml"/><Relationship Id="rId95" Type="http://schemas.openxmlformats.org/officeDocument/2006/relationships/image" Target="../media/image46.emf"/><Relationship Id="rId19" Type="http://schemas.openxmlformats.org/officeDocument/2006/relationships/image" Target="../media/image8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control" Target="../activeX/activeX23.xml"/><Relationship Id="rId56" Type="http://schemas.openxmlformats.org/officeDocument/2006/relationships/control" Target="../activeX/activeX27.xml"/><Relationship Id="rId64" Type="http://schemas.openxmlformats.org/officeDocument/2006/relationships/control" Target="../activeX/activeX31.xml"/><Relationship Id="rId69" Type="http://schemas.openxmlformats.org/officeDocument/2006/relationships/image" Target="../media/image33.emf"/><Relationship Id="rId77" Type="http://schemas.openxmlformats.org/officeDocument/2006/relationships/image" Target="../media/image37.emf"/><Relationship Id="rId100" Type="http://schemas.openxmlformats.org/officeDocument/2006/relationships/control" Target="../activeX/activeX49.xml"/><Relationship Id="rId105" Type="http://schemas.openxmlformats.org/officeDocument/2006/relationships/image" Target="../media/image51.emf"/><Relationship Id="rId8" Type="http://schemas.openxmlformats.org/officeDocument/2006/relationships/control" Target="../activeX/activeX3.xml"/><Relationship Id="rId51" Type="http://schemas.openxmlformats.org/officeDocument/2006/relationships/image" Target="../media/image24.emf"/><Relationship Id="rId72" Type="http://schemas.openxmlformats.org/officeDocument/2006/relationships/control" Target="../activeX/activeX35.xml"/><Relationship Id="rId80" Type="http://schemas.openxmlformats.org/officeDocument/2006/relationships/control" Target="../activeX/activeX39.xml"/><Relationship Id="rId85" Type="http://schemas.openxmlformats.org/officeDocument/2006/relationships/image" Target="../media/image41.emf"/><Relationship Id="rId93" Type="http://schemas.openxmlformats.org/officeDocument/2006/relationships/image" Target="../media/image45.emf"/><Relationship Id="rId98" Type="http://schemas.openxmlformats.org/officeDocument/2006/relationships/control" Target="../activeX/activeX48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46" Type="http://schemas.openxmlformats.org/officeDocument/2006/relationships/control" Target="../activeX/activeX22.xml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103" Type="http://schemas.openxmlformats.org/officeDocument/2006/relationships/image" Target="../media/image50.emf"/><Relationship Id="rId20" Type="http://schemas.openxmlformats.org/officeDocument/2006/relationships/control" Target="../activeX/activeX9.xml"/><Relationship Id="rId41" Type="http://schemas.openxmlformats.org/officeDocument/2006/relationships/image" Target="../media/image19.emf"/><Relationship Id="rId54" Type="http://schemas.openxmlformats.org/officeDocument/2006/relationships/control" Target="../activeX/activeX26.xml"/><Relationship Id="rId62" Type="http://schemas.openxmlformats.org/officeDocument/2006/relationships/control" Target="../activeX/activeX30.xml"/><Relationship Id="rId70" Type="http://schemas.openxmlformats.org/officeDocument/2006/relationships/control" Target="../activeX/activeX34.xml"/><Relationship Id="rId75" Type="http://schemas.openxmlformats.org/officeDocument/2006/relationships/image" Target="../media/image36.emf"/><Relationship Id="rId83" Type="http://schemas.openxmlformats.org/officeDocument/2006/relationships/image" Target="../media/image40.emf"/><Relationship Id="rId88" Type="http://schemas.openxmlformats.org/officeDocument/2006/relationships/control" Target="../activeX/activeX43.xml"/><Relationship Id="rId91" Type="http://schemas.openxmlformats.org/officeDocument/2006/relationships/image" Target="../media/image44.emf"/><Relationship Id="rId96" Type="http://schemas.openxmlformats.org/officeDocument/2006/relationships/control" Target="../activeX/activeX4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6" Type="http://schemas.openxmlformats.org/officeDocument/2006/relationships/control" Target="../activeX/activeX52.xml"/><Relationship Id="rId10" Type="http://schemas.openxmlformats.org/officeDocument/2006/relationships/control" Target="../activeX/activeX4.xml"/><Relationship Id="rId31" Type="http://schemas.openxmlformats.org/officeDocument/2006/relationships/image" Target="../media/image14.emf"/><Relationship Id="rId44" Type="http://schemas.openxmlformats.org/officeDocument/2006/relationships/control" Target="../activeX/activeX21.xml"/><Relationship Id="rId52" Type="http://schemas.openxmlformats.org/officeDocument/2006/relationships/control" Target="../activeX/activeX25.xml"/><Relationship Id="rId60" Type="http://schemas.openxmlformats.org/officeDocument/2006/relationships/control" Target="../activeX/activeX29.xml"/><Relationship Id="rId65" Type="http://schemas.openxmlformats.org/officeDocument/2006/relationships/image" Target="../media/image31.emf"/><Relationship Id="rId73" Type="http://schemas.openxmlformats.org/officeDocument/2006/relationships/image" Target="../media/image35.emf"/><Relationship Id="rId78" Type="http://schemas.openxmlformats.org/officeDocument/2006/relationships/control" Target="../activeX/activeX38.xml"/><Relationship Id="rId81" Type="http://schemas.openxmlformats.org/officeDocument/2006/relationships/image" Target="../media/image39.emf"/><Relationship Id="rId86" Type="http://schemas.openxmlformats.org/officeDocument/2006/relationships/control" Target="../activeX/activeX42.xml"/><Relationship Id="rId94" Type="http://schemas.openxmlformats.org/officeDocument/2006/relationships/control" Target="../activeX/activeX46.xml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9" Type="http://schemas.openxmlformats.org/officeDocument/2006/relationships/image" Target="../media/image18.emf"/><Relationship Id="rId34" Type="http://schemas.openxmlformats.org/officeDocument/2006/relationships/control" Target="../activeX/activeX16.xml"/><Relationship Id="rId50" Type="http://schemas.openxmlformats.org/officeDocument/2006/relationships/control" Target="../activeX/activeX24.xml"/><Relationship Id="rId55" Type="http://schemas.openxmlformats.org/officeDocument/2006/relationships/image" Target="../media/image26.emf"/><Relationship Id="rId76" Type="http://schemas.openxmlformats.org/officeDocument/2006/relationships/control" Target="../activeX/activeX37.xml"/><Relationship Id="rId97" Type="http://schemas.openxmlformats.org/officeDocument/2006/relationships/image" Target="../media/image47.emf"/><Relationship Id="rId104" Type="http://schemas.openxmlformats.org/officeDocument/2006/relationships/control" Target="../activeX/activeX5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BB43"/>
  <sheetViews>
    <sheetView tabSelected="1" zoomScale="86" zoomScaleNormal="86" workbookViewId="0">
      <pane ySplit="5" topLeftCell="A36" activePane="bottomLeft" state="frozen"/>
      <selection pane="bottomLeft" activeCell="A44" sqref="A44"/>
    </sheetView>
  </sheetViews>
  <sheetFormatPr defaultRowHeight="15" x14ac:dyDescent="0.25"/>
  <cols>
    <col min="1" max="1" width="12.42578125" customWidth="1"/>
    <col min="19" max="19" width="9.140625" customWidth="1"/>
  </cols>
  <sheetData>
    <row r="1" spans="1:54" ht="71.25" customHeight="1" thickBot="1" x14ac:dyDescent="0.3">
      <c r="A1" s="10" t="s">
        <v>0</v>
      </c>
      <c r="B1" s="12" t="s">
        <v>1</v>
      </c>
      <c r="C1" s="13"/>
      <c r="D1" s="12" t="s">
        <v>2</v>
      </c>
      <c r="E1" s="13"/>
      <c r="F1" s="12" t="s">
        <v>3</v>
      </c>
      <c r="G1" s="19"/>
      <c r="H1" s="19"/>
      <c r="I1" s="19"/>
      <c r="J1" s="19"/>
      <c r="K1" s="13"/>
      <c r="L1" s="16" t="s">
        <v>4</v>
      </c>
      <c r="M1" s="17"/>
      <c r="N1" s="17"/>
      <c r="O1" s="17"/>
      <c r="P1" s="17"/>
      <c r="Q1" s="17"/>
      <c r="R1" s="17"/>
      <c r="S1" s="18"/>
      <c r="T1" s="16" t="s">
        <v>5</v>
      </c>
      <c r="U1" s="17"/>
      <c r="V1" s="17"/>
      <c r="W1" s="17"/>
      <c r="X1" s="17"/>
      <c r="Y1" s="17"/>
      <c r="Z1" s="17"/>
      <c r="AA1" s="18"/>
      <c r="AB1" s="16" t="s">
        <v>6</v>
      </c>
      <c r="AC1" s="17"/>
      <c r="AD1" s="17"/>
      <c r="AE1" s="17"/>
      <c r="AF1" s="17"/>
      <c r="AG1" s="17"/>
      <c r="AH1" s="18"/>
      <c r="AI1" s="16" t="s">
        <v>7</v>
      </c>
      <c r="AJ1" s="18"/>
      <c r="AK1" s="16" t="s">
        <v>8</v>
      </c>
      <c r="AL1" s="17"/>
      <c r="AM1" s="17"/>
      <c r="AN1" s="17"/>
      <c r="AO1" s="17"/>
      <c r="AP1" s="18"/>
      <c r="AQ1" s="16" t="s">
        <v>9</v>
      </c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8"/>
    </row>
    <row r="2" spans="1:54" ht="39" customHeight="1" thickBot="1" x14ac:dyDescent="0.3">
      <c r="A2" s="11"/>
      <c r="B2" s="14"/>
      <c r="C2" s="15"/>
      <c r="D2" s="14"/>
      <c r="E2" s="15"/>
      <c r="F2" s="14"/>
      <c r="G2" s="20"/>
      <c r="H2" s="20"/>
      <c r="I2" s="20"/>
      <c r="J2" s="20"/>
      <c r="K2" s="15"/>
      <c r="L2" s="16" t="s">
        <v>10</v>
      </c>
      <c r="M2" s="18"/>
      <c r="N2" s="16" t="s">
        <v>11</v>
      </c>
      <c r="O2" s="17"/>
      <c r="P2" s="17"/>
      <c r="Q2" s="17"/>
      <c r="R2" s="17"/>
      <c r="S2" s="18"/>
      <c r="T2" s="10" t="s">
        <v>12</v>
      </c>
      <c r="U2" s="10" t="s">
        <v>13</v>
      </c>
      <c r="V2" s="10" t="s">
        <v>14</v>
      </c>
      <c r="W2" s="10" t="s">
        <v>15</v>
      </c>
      <c r="X2" s="10" t="s">
        <v>16</v>
      </c>
      <c r="Y2" s="10" t="s">
        <v>17</v>
      </c>
      <c r="Z2" s="10" t="s">
        <v>18</v>
      </c>
      <c r="AA2" s="10" t="s">
        <v>19</v>
      </c>
      <c r="AB2" s="10" t="s">
        <v>20</v>
      </c>
      <c r="AC2" s="10" t="s">
        <v>21</v>
      </c>
      <c r="AD2" s="10" t="s">
        <v>22</v>
      </c>
      <c r="AE2" s="10" t="s">
        <v>23</v>
      </c>
      <c r="AF2" s="10" t="s">
        <v>24</v>
      </c>
      <c r="AG2" s="10" t="s">
        <v>25</v>
      </c>
      <c r="AH2" s="10" t="s">
        <v>26</v>
      </c>
      <c r="AI2" s="10" t="s">
        <v>27</v>
      </c>
      <c r="AJ2" s="10" t="s">
        <v>28</v>
      </c>
      <c r="AK2" s="10" t="s">
        <v>29</v>
      </c>
      <c r="AL2" s="16" t="s">
        <v>30</v>
      </c>
      <c r="AM2" s="17"/>
      <c r="AN2" s="17"/>
      <c r="AO2" s="18"/>
      <c r="AP2" s="10" t="s">
        <v>31</v>
      </c>
      <c r="AQ2" s="10" t="s">
        <v>32</v>
      </c>
      <c r="AR2" s="10" t="s">
        <v>33</v>
      </c>
      <c r="AS2" s="16" t="s">
        <v>34</v>
      </c>
      <c r="AT2" s="17"/>
      <c r="AU2" s="17"/>
      <c r="AV2" s="17"/>
      <c r="AW2" s="17"/>
      <c r="AX2" s="17"/>
      <c r="AY2" s="17"/>
      <c r="AZ2" s="18"/>
      <c r="BA2" s="12" t="s">
        <v>2</v>
      </c>
      <c r="BB2" s="13"/>
    </row>
    <row r="3" spans="1:54" ht="56.25" customHeight="1" thickBot="1" x14ac:dyDescent="0.3">
      <c r="A3" s="11"/>
      <c r="B3" s="10" t="s">
        <v>32</v>
      </c>
      <c r="C3" s="10" t="s">
        <v>33</v>
      </c>
      <c r="D3" s="10" t="s">
        <v>35</v>
      </c>
      <c r="E3" s="10" t="s">
        <v>36</v>
      </c>
      <c r="F3" s="16" t="s">
        <v>37</v>
      </c>
      <c r="G3" s="18"/>
      <c r="H3" s="16" t="s">
        <v>38</v>
      </c>
      <c r="I3" s="18"/>
      <c r="J3" s="16" t="s">
        <v>39</v>
      </c>
      <c r="K3" s="18"/>
      <c r="L3" s="16" t="s">
        <v>40</v>
      </c>
      <c r="M3" s="18"/>
      <c r="N3" s="16" t="s">
        <v>41</v>
      </c>
      <c r="O3" s="18"/>
      <c r="P3" s="16" t="s">
        <v>42</v>
      </c>
      <c r="Q3" s="18"/>
      <c r="R3" s="16" t="s">
        <v>43</v>
      </c>
      <c r="S3" s="18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0" t="s">
        <v>44</v>
      </c>
      <c r="AM3" s="10" t="s">
        <v>45</v>
      </c>
      <c r="AN3" s="10" t="s">
        <v>46</v>
      </c>
      <c r="AO3" s="10" t="s">
        <v>26</v>
      </c>
      <c r="AP3" s="11"/>
      <c r="AQ3" s="11"/>
      <c r="AR3" s="11"/>
      <c r="AS3" s="10" t="s">
        <v>12</v>
      </c>
      <c r="AT3" s="10" t="s">
        <v>13</v>
      </c>
      <c r="AU3" s="10" t="s">
        <v>14</v>
      </c>
      <c r="AV3" s="10" t="s">
        <v>15</v>
      </c>
      <c r="AW3" s="10" t="s">
        <v>16</v>
      </c>
      <c r="AX3" s="10" t="s">
        <v>17</v>
      </c>
      <c r="AY3" s="10" t="s">
        <v>18</v>
      </c>
      <c r="AZ3" s="10" t="s">
        <v>19</v>
      </c>
      <c r="BA3" s="14"/>
      <c r="BB3" s="15"/>
    </row>
    <row r="4" spans="1:54" ht="55.5" hidden="1" customHeight="1" x14ac:dyDescent="0.25">
      <c r="A4" s="11"/>
      <c r="B4" s="11"/>
      <c r="C4" s="11"/>
      <c r="D4" s="11"/>
      <c r="E4" s="11"/>
      <c r="F4" s="10" t="s">
        <v>32</v>
      </c>
      <c r="G4" s="10" t="s">
        <v>33</v>
      </c>
      <c r="H4" s="10" t="s">
        <v>32</v>
      </c>
      <c r="I4" s="10" t="s">
        <v>33</v>
      </c>
      <c r="J4" s="10" t="s">
        <v>32</v>
      </c>
      <c r="K4" s="10" t="s">
        <v>33</v>
      </c>
      <c r="L4" s="10" t="s">
        <v>32</v>
      </c>
      <c r="M4" s="10" t="s">
        <v>33</v>
      </c>
      <c r="N4" s="10" t="s">
        <v>32</v>
      </c>
      <c r="O4" s="10" t="s">
        <v>33</v>
      </c>
      <c r="P4" s="10" t="s">
        <v>32</v>
      </c>
      <c r="Q4" s="10" t="s">
        <v>33</v>
      </c>
      <c r="R4" s="10" t="s">
        <v>32</v>
      </c>
      <c r="S4" s="10" t="s">
        <v>33</v>
      </c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0" t="s">
        <v>35</v>
      </c>
      <c r="BB4" s="10" t="s">
        <v>36</v>
      </c>
    </row>
    <row r="5" spans="1:54" hidden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x14ac:dyDescent="0.25">
      <c r="A6" s="1">
        <v>45754</v>
      </c>
      <c r="B6" s="6">
        <v>169</v>
      </c>
      <c r="C6" s="2">
        <v>7</v>
      </c>
      <c r="D6" s="2"/>
      <c r="E6" s="2">
        <v>-13.8</v>
      </c>
      <c r="F6" s="3">
        <v>0</v>
      </c>
      <c r="G6" s="2">
        <v>0</v>
      </c>
      <c r="H6" s="3">
        <v>166</v>
      </c>
      <c r="I6" s="2">
        <v>7</v>
      </c>
      <c r="J6" s="3">
        <v>3</v>
      </c>
      <c r="K6" s="2">
        <v>0</v>
      </c>
      <c r="L6" s="3">
        <v>0</v>
      </c>
      <c r="M6" s="2">
        <v>0</v>
      </c>
      <c r="N6" s="3">
        <v>166</v>
      </c>
      <c r="O6" s="2">
        <v>7</v>
      </c>
      <c r="P6" s="3">
        <v>3</v>
      </c>
      <c r="Q6" s="2">
        <v>0</v>
      </c>
      <c r="R6" s="3">
        <v>0</v>
      </c>
      <c r="S6" s="2">
        <v>0</v>
      </c>
      <c r="T6" s="8">
        <v>1</v>
      </c>
      <c r="U6" s="8">
        <v>1</v>
      </c>
      <c r="V6" s="8">
        <v>0</v>
      </c>
      <c r="W6" s="8">
        <v>0</v>
      </c>
      <c r="X6" s="8">
        <v>1</v>
      </c>
      <c r="Y6" s="8">
        <v>1</v>
      </c>
      <c r="Z6" s="8">
        <v>1</v>
      </c>
      <c r="AA6" s="8">
        <v>2</v>
      </c>
      <c r="AB6" s="2">
        <v>1</v>
      </c>
      <c r="AC6" s="2">
        <v>1</v>
      </c>
      <c r="AD6" s="2">
        <v>0</v>
      </c>
      <c r="AE6" s="2">
        <v>2</v>
      </c>
      <c r="AF6" s="2">
        <v>0</v>
      </c>
      <c r="AG6" s="2">
        <v>1</v>
      </c>
      <c r="AH6" s="2">
        <v>2</v>
      </c>
      <c r="AI6" s="3">
        <v>9</v>
      </c>
      <c r="AJ6" s="2">
        <v>0</v>
      </c>
      <c r="AK6" s="4">
        <v>0</v>
      </c>
      <c r="AL6" s="4">
        <v>0</v>
      </c>
      <c r="AM6" s="4">
        <v>2</v>
      </c>
      <c r="AN6" s="4">
        <v>4</v>
      </c>
      <c r="AO6" s="4">
        <v>0</v>
      </c>
      <c r="AP6" s="4">
        <v>1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</row>
    <row r="7" spans="1:54" x14ac:dyDescent="0.25">
      <c r="A7" s="1">
        <v>45761</v>
      </c>
      <c r="B7" s="6">
        <v>185</v>
      </c>
      <c r="C7" s="2">
        <v>16</v>
      </c>
      <c r="D7" s="2">
        <v>128.5</v>
      </c>
      <c r="E7" s="2"/>
      <c r="F7" s="3">
        <v>0</v>
      </c>
      <c r="G7" s="2">
        <v>0</v>
      </c>
      <c r="H7" s="3">
        <v>182</v>
      </c>
      <c r="I7" s="2">
        <v>16</v>
      </c>
      <c r="J7" s="3">
        <v>3</v>
      </c>
      <c r="K7" s="2">
        <v>0</v>
      </c>
      <c r="L7" s="3">
        <v>0</v>
      </c>
      <c r="M7" s="2">
        <v>0</v>
      </c>
      <c r="N7" s="3">
        <v>182</v>
      </c>
      <c r="O7" s="2">
        <v>16</v>
      </c>
      <c r="P7" s="3">
        <v>3</v>
      </c>
      <c r="Q7" s="2">
        <v>0</v>
      </c>
      <c r="R7" s="3">
        <v>0</v>
      </c>
      <c r="S7" s="2">
        <v>0</v>
      </c>
      <c r="T7" s="8">
        <v>0</v>
      </c>
      <c r="U7" s="8">
        <v>1</v>
      </c>
      <c r="V7" s="8">
        <v>0</v>
      </c>
      <c r="W7" s="8">
        <v>0</v>
      </c>
      <c r="X7" s="8">
        <v>3</v>
      </c>
      <c r="Y7" s="8">
        <v>2</v>
      </c>
      <c r="Z7" s="8">
        <v>2</v>
      </c>
      <c r="AA7" s="8">
        <v>8</v>
      </c>
      <c r="AB7" s="7">
        <v>1</v>
      </c>
      <c r="AC7" s="7">
        <v>7</v>
      </c>
      <c r="AD7" s="7"/>
      <c r="AE7" s="7">
        <v>8</v>
      </c>
      <c r="AF7" s="7"/>
      <c r="AG7" s="7"/>
      <c r="AH7" s="7"/>
      <c r="AI7" s="3">
        <v>9</v>
      </c>
      <c r="AJ7" s="2">
        <v>0</v>
      </c>
      <c r="AK7" s="4"/>
      <c r="AL7" s="4"/>
      <c r="AM7" s="4">
        <v>4</v>
      </c>
      <c r="AN7" s="4">
        <v>11</v>
      </c>
      <c r="AO7" s="4"/>
      <c r="AP7" s="4">
        <v>1</v>
      </c>
      <c r="AQ7" s="5">
        <v>0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spans="1:54" x14ac:dyDescent="0.25">
      <c r="A8" s="1">
        <v>45768</v>
      </c>
      <c r="B8" s="6">
        <v>195</v>
      </c>
      <c r="C8" s="2">
        <v>10</v>
      </c>
      <c r="D8" s="2"/>
      <c r="E8" s="2">
        <v>-37.5</v>
      </c>
      <c r="F8" s="3">
        <v>0</v>
      </c>
      <c r="G8" s="2">
        <v>0</v>
      </c>
      <c r="H8" s="3">
        <v>192</v>
      </c>
      <c r="I8" s="2">
        <v>10</v>
      </c>
      <c r="J8" s="3">
        <v>3</v>
      </c>
      <c r="K8" s="2">
        <v>0</v>
      </c>
      <c r="L8" s="3">
        <v>0</v>
      </c>
      <c r="M8" s="2">
        <v>0</v>
      </c>
      <c r="N8" s="3">
        <v>192</v>
      </c>
      <c r="O8" s="2">
        <v>10</v>
      </c>
      <c r="P8" s="3">
        <v>3</v>
      </c>
      <c r="Q8" s="2">
        <v>0</v>
      </c>
      <c r="R8" s="3">
        <v>0</v>
      </c>
      <c r="S8" s="2">
        <v>0</v>
      </c>
      <c r="T8" s="8">
        <v>1</v>
      </c>
      <c r="U8" s="8">
        <v>1</v>
      </c>
      <c r="V8" s="8">
        <v>0</v>
      </c>
      <c r="W8" s="8">
        <v>0</v>
      </c>
      <c r="X8" s="8">
        <v>0</v>
      </c>
      <c r="Y8" s="8">
        <v>1</v>
      </c>
      <c r="Z8" s="8">
        <v>1</v>
      </c>
      <c r="AA8" s="8">
        <v>6</v>
      </c>
      <c r="AB8" s="7">
        <v>1</v>
      </c>
      <c r="AC8" s="7">
        <v>0</v>
      </c>
      <c r="AD8" s="7">
        <v>0</v>
      </c>
      <c r="AE8" s="7">
        <v>6</v>
      </c>
      <c r="AF8" s="7">
        <v>0</v>
      </c>
      <c r="AG8" s="7">
        <v>0</v>
      </c>
      <c r="AH8" s="7">
        <v>3</v>
      </c>
      <c r="AI8" s="3">
        <v>9</v>
      </c>
      <c r="AJ8" s="2">
        <v>0</v>
      </c>
      <c r="AK8" s="4"/>
      <c r="AL8" s="4"/>
      <c r="AM8" s="4">
        <v>1</v>
      </c>
      <c r="AN8" s="4">
        <v>7</v>
      </c>
      <c r="AO8" s="4"/>
      <c r="AP8" s="4">
        <v>2</v>
      </c>
      <c r="AQ8" s="5">
        <v>0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</row>
    <row r="9" spans="1:54" x14ac:dyDescent="0.25">
      <c r="A9" s="1">
        <v>45775</v>
      </c>
      <c r="B9" s="6">
        <v>207</v>
      </c>
      <c r="C9" s="2">
        <v>12</v>
      </c>
      <c r="D9" s="2">
        <v>20</v>
      </c>
      <c r="E9" s="2">
        <v>0</v>
      </c>
      <c r="F9" s="3">
        <v>0</v>
      </c>
      <c r="G9" s="2">
        <v>0</v>
      </c>
      <c r="H9" s="3">
        <v>204</v>
      </c>
      <c r="I9" s="2">
        <v>12</v>
      </c>
      <c r="J9" s="3">
        <v>3</v>
      </c>
      <c r="K9" s="2">
        <v>0</v>
      </c>
      <c r="L9" s="3">
        <v>0</v>
      </c>
      <c r="M9" s="2">
        <v>0</v>
      </c>
      <c r="N9" s="3">
        <v>204</v>
      </c>
      <c r="O9" s="2">
        <v>12</v>
      </c>
      <c r="P9" s="3">
        <v>3</v>
      </c>
      <c r="Q9" s="2">
        <v>0</v>
      </c>
      <c r="R9" s="3">
        <v>0</v>
      </c>
      <c r="S9" s="2">
        <v>0</v>
      </c>
      <c r="T9" s="8">
        <v>2</v>
      </c>
      <c r="U9" s="8">
        <v>0</v>
      </c>
      <c r="V9" s="8">
        <v>0</v>
      </c>
      <c r="W9" s="8">
        <v>0</v>
      </c>
      <c r="X9" s="8">
        <v>2</v>
      </c>
      <c r="Y9" s="8">
        <v>0</v>
      </c>
      <c r="Z9" s="8">
        <v>2</v>
      </c>
      <c r="AA9" s="8">
        <v>6</v>
      </c>
      <c r="AB9" s="7">
        <v>0</v>
      </c>
      <c r="AC9" s="7">
        <v>2</v>
      </c>
      <c r="AD9" s="7">
        <v>0</v>
      </c>
      <c r="AE9" s="7">
        <v>7</v>
      </c>
      <c r="AF9" s="7">
        <v>0</v>
      </c>
      <c r="AG9" s="7">
        <v>0</v>
      </c>
      <c r="AH9" s="7">
        <v>3</v>
      </c>
      <c r="AI9" s="3">
        <v>9</v>
      </c>
      <c r="AJ9" s="2">
        <v>0</v>
      </c>
      <c r="AK9" s="4"/>
      <c r="AL9" s="4"/>
      <c r="AM9" s="4">
        <v>1</v>
      </c>
      <c r="AN9" s="4">
        <v>10</v>
      </c>
      <c r="AO9" s="4"/>
      <c r="AP9" s="4">
        <v>1</v>
      </c>
      <c r="AQ9" s="5">
        <v>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spans="1:54" x14ac:dyDescent="0.25">
      <c r="A10" s="1">
        <v>45782</v>
      </c>
      <c r="B10" s="6">
        <v>209</v>
      </c>
      <c r="C10" s="2">
        <v>2</v>
      </c>
      <c r="D10" s="2"/>
      <c r="E10" s="2">
        <v>-83</v>
      </c>
      <c r="F10" s="3">
        <v>0</v>
      </c>
      <c r="G10" s="2">
        <v>0</v>
      </c>
      <c r="H10" s="3">
        <v>206</v>
      </c>
      <c r="I10" s="2">
        <v>2</v>
      </c>
      <c r="J10" s="3">
        <v>3</v>
      </c>
      <c r="K10" s="2">
        <v>0</v>
      </c>
      <c r="L10" s="3">
        <v>0</v>
      </c>
      <c r="M10" s="2">
        <v>0</v>
      </c>
      <c r="N10" s="3">
        <v>206</v>
      </c>
      <c r="O10" s="2">
        <v>2</v>
      </c>
      <c r="P10" s="3">
        <v>3</v>
      </c>
      <c r="Q10" s="2">
        <v>0</v>
      </c>
      <c r="R10" s="3">
        <v>0</v>
      </c>
      <c r="S10" s="2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1</v>
      </c>
      <c r="Z10" s="8">
        <v>1</v>
      </c>
      <c r="AA10" s="8">
        <v>0</v>
      </c>
      <c r="AB10" s="7">
        <v>0</v>
      </c>
      <c r="AC10" s="7">
        <v>2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3">
        <v>9</v>
      </c>
      <c r="AJ10" s="2">
        <v>0</v>
      </c>
      <c r="AK10" s="4"/>
      <c r="AL10" s="4"/>
      <c r="AM10" s="4">
        <v>0</v>
      </c>
      <c r="AN10" s="4">
        <v>2</v>
      </c>
      <c r="AO10" s="4"/>
      <c r="AP10" s="4">
        <v>0</v>
      </c>
      <c r="AQ10" s="5">
        <v>0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spans="1:54" x14ac:dyDescent="0.25">
      <c r="A11" s="1">
        <v>45789</v>
      </c>
      <c r="B11" s="6">
        <v>210</v>
      </c>
      <c r="C11" s="2">
        <v>1</v>
      </c>
      <c r="D11" s="2"/>
      <c r="E11" s="2">
        <v>-50</v>
      </c>
      <c r="F11" s="3">
        <v>0</v>
      </c>
      <c r="G11" s="2">
        <v>0</v>
      </c>
      <c r="H11" s="3">
        <v>207</v>
      </c>
      <c r="I11" s="2">
        <v>1</v>
      </c>
      <c r="J11" s="3">
        <v>3</v>
      </c>
      <c r="K11" s="2">
        <v>0</v>
      </c>
      <c r="L11" s="3">
        <v>0</v>
      </c>
      <c r="M11" s="2">
        <v>0</v>
      </c>
      <c r="N11" s="3">
        <v>207</v>
      </c>
      <c r="O11" s="2">
        <v>1</v>
      </c>
      <c r="P11" s="3">
        <v>3</v>
      </c>
      <c r="Q11" s="2">
        <v>0</v>
      </c>
      <c r="R11" s="3">
        <v>0</v>
      </c>
      <c r="S11" s="2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1</v>
      </c>
      <c r="AB11" s="7">
        <v>0</v>
      </c>
      <c r="AC11" s="7">
        <v>0</v>
      </c>
      <c r="AD11" s="7">
        <v>0</v>
      </c>
      <c r="AE11" s="7">
        <v>1</v>
      </c>
      <c r="AF11" s="7">
        <v>0</v>
      </c>
      <c r="AG11" s="7">
        <v>0</v>
      </c>
      <c r="AH11" s="7">
        <v>0</v>
      </c>
      <c r="AI11" s="3">
        <v>9</v>
      </c>
      <c r="AJ11" s="2">
        <v>0</v>
      </c>
      <c r="AK11" s="4"/>
      <c r="AL11" s="4"/>
      <c r="AM11" s="4">
        <v>0</v>
      </c>
      <c r="AN11" s="4">
        <v>1</v>
      </c>
      <c r="AO11" s="4"/>
      <c r="AP11" s="4">
        <v>0</v>
      </c>
      <c r="AQ11" s="5">
        <v>0</v>
      </c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 spans="1:54" x14ac:dyDescent="0.25">
      <c r="A12" s="1">
        <v>45796</v>
      </c>
      <c r="B12" s="6">
        <v>215</v>
      </c>
      <c r="C12" s="2">
        <v>5</v>
      </c>
      <c r="D12" s="2">
        <v>400</v>
      </c>
      <c r="E12" s="2">
        <v>0</v>
      </c>
      <c r="F12" s="3">
        <v>0</v>
      </c>
      <c r="G12" s="2">
        <v>0</v>
      </c>
      <c r="H12" s="3">
        <v>212</v>
      </c>
      <c r="I12" s="2">
        <v>5</v>
      </c>
      <c r="J12" s="3">
        <v>3</v>
      </c>
      <c r="K12" s="2">
        <v>0</v>
      </c>
      <c r="L12" s="3">
        <v>0</v>
      </c>
      <c r="M12" s="2">
        <v>0</v>
      </c>
      <c r="N12" s="3">
        <v>212</v>
      </c>
      <c r="O12" s="2">
        <v>5</v>
      </c>
      <c r="P12" s="3">
        <v>3</v>
      </c>
      <c r="Q12" s="2">
        <v>0</v>
      </c>
      <c r="R12" s="3">
        <v>0</v>
      </c>
      <c r="S12" s="2">
        <v>0</v>
      </c>
      <c r="T12" s="8">
        <v>0</v>
      </c>
      <c r="U12" s="8">
        <v>0</v>
      </c>
      <c r="V12" s="8">
        <v>2</v>
      </c>
      <c r="W12" s="8">
        <v>0</v>
      </c>
      <c r="X12" s="8">
        <v>1</v>
      </c>
      <c r="Y12" s="8">
        <v>0</v>
      </c>
      <c r="Z12" s="8">
        <v>1</v>
      </c>
      <c r="AA12" s="8">
        <v>1</v>
      </c>
      <c r="AB12" s="7">
        <v>2</v>
      </c>
      <c r="AC12" s="7">
        <v>2</v>
      </c>
      <c r="AD12" s="7">
        <v>0</v>
      </c>
      <c r="AE12" s="7">
        <v>1</v>
      </c>
      <c r="AF12" s="7">
        <v>0</v>
      </c>
      <c r="AG12" s="7">
        <v>0</v>
      </c>
      <c r="AH12" s="7">
        <v>0</v>
      </c>
      <c r="AI12" s="3">
        <v>9</v>
      </c>
      <c r="AJ12" s="2">
        <v>0</v>
      </c>
      <c r="AK12" s="4"/>
      <c r="AL12" s="4"/>
      <c r="AM12" s="4">
        <v>0</v>
      </c>
      <c r="AN12" s="4">
        <v>5</v>
      </c>
      <c r="AO12" s="4"/>
      <c r="AP12" s="4">
        <v>0</v>
      </c>
      <c r="AQ12" s="5">
        <v>0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spans="1:54" x14ac:dyDescent="0.25">
      <c r="A13" s="1">
        <v>45797</v>
      </c>
      <c r="B13" s="6">
        <v>219</v>
      </c>
      <c r="C13" s="2">
        <v>4</v>
      </c>
      <c r="D13" s="2">
        <v>0</v>
      </c>
      <c r="E13" s="2">
        <v>-20</v>
      </c>
      <c r="F13" s="3">
        <v>0</v>
      </c>
      <c r="G13" s="2">
        <v>0</v>
      </c>
      <c r="H13" s="3">
        <v>216</v>
      </c>
      <c r="I13" s="2">
        <v>4</v>
      </c>
      <c r="J13" s="3">
        <v>3</v>
      </c>
      <c r="K13" s="2">
        <v>0</v>
      </c>
      <c r="L13" s="3">
        <v>0</v>
      </c>
      <c r="M13" s="2">
        <v>0</v>
      </c>
      <c r="N13" s="3">
        <v>216</v>
      </c>
      <c r="O13" s="2">
        <v>4</v>
      </c>
      <c r="P13" s="3">
        <v>3</v>
      </c>
      <c r="Q13" s="2">
        <v>0</v>
      </c>
      <c r="R13" s="3">
        <v>0</v>
      </c>
      <c r="S13" s="2">
        <v>0</v>
      </c>
      <c r="T13" s="8">
        <v>1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2</v>
      </c>
      <c r="AA13" s="8">
        <v>1</v>
      </c>
      <c r="AB13" s="7">
        <v>0</v>
      </c>
      <c r="AC13" s="7">
        <v>1</v>
      </c>
      <c r="AD13" s="7">
        <v>0</v>
      </c>
      <c r="AE13" s="7">
        <v>2</v>
      </c>
      <c r="AF13" s="7">
        <v>0</v>
      </c>
      <c r="AG13" s="7">
        <v>0</v>
      </c>
      <c r="AH13" s="7">
        <v>1</v>
      </c>
      <c r="AI13" s="3">
        <v>9</v>
      </c>
      <c r="AJ13" s="2">
        <v>0</v>
      </c>
      <c r="AK13" s="4"/>
      <c r="AL13" s="4"/>
      <c r="AM13" s="4">
        <v>0</v>
      </c>
      <c r="AN13" s="4">
        <v>3</v>
      </c>
      <c r="AO13" s="4"/>
      <c r="AP13" s="4">
        <v>1</v>
      </c>
      <c r="AQ13" s="5">
        <v>0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</row>
    <row r="14" spans="1:54" x14ac:dyDescent="0.25">
      <c r="A14" s="1">
        <v>45810</v>
      </c>
      <c r="B14" s="6">
        <v>222</v>
      </c>
      <c r="C14" s="2">
        <v>3</v>
      </c>
      <c r="D14" s="2">
        <v>0</v>
      </c>
      <c r="E14" s="2">
        <v>25</v>
      </c>
      <c r="F14" s="3">
        <v>0</v>
      </c>
      <c r="G14" s="2">
        <v>0</v>
      </c>
      <c r="H14" s="3">
        <v>219</v>
      </c>
      <c r="I14" s="2">
        <v>3</v>
      </c>
      <c r="J14" s="3">
        <v>3</v>
      </c>
      <c r="K14" s="2">
        <v>0</v>
      </c>
      <c r="L14" s="3">
        <v>0</v>
      </c>
      <c r="M14" s="2">
        <v>0</v>
      </c>
      <c r="N14" s="3">
        <v>219</v>
      </c>
      <c r="O14" s="2">
        <v>3</v>
      </c>
      <c r="P14" s="3">
        <v>3</v>
      </c>
      <c r="Q14" s="2">
        <v>0</v>
      </c>
      <c r="R14" s="3">
        <v>0</v>
      </c>
      <c r="S14" s="2">
        <v>0</v>
      </c>
      <c r="T14" s="8">
        <v>0</v>
      </c>
      <c r="U14" s="8">
        <v>1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2</v>
      </c>
      <c r="AB14" s="7">
        <v>0</v>
      </c>
      <c r="AC14" s="7">
        <v>0</v>
      </c>
      <c r="AD14" s="7">
        <v>0</v>
      </c>
      <c r="AE14" s="7">
        <v>2</v>
      </c>
      <c r="AF14" s="7">
        <v>0</v>
      </c>
      <c r="AG14" s="7">
        <v>0</v>
      </c>
      <c r="AH14" s="7">
        <v>1</v>
      </c>
      <c r="AI14" s="3">
        <v>9</v>
      </c>
      <c r="AJ14" s="2">
        <v>0</v>
      </c>
      <c r="AK14" s="4"/>
      <c r="AL14" s="4"/>
      <c r="AM14" s="4">
        <v>0</v>
      </c>
      <c r="AN14" s="4">
        <v>3</v>
      </c>
      <c r="AO14" s="4"/>
      <c r="AP14" s="4">
        <v>0</v>
      </c>
      <c r="AQ14" s="5">
        <v>0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spans="1:54" x14ac:dyDescent="0.25">
      <c r="A15" s="1">
        <v>45817</v>
      </c>
      <c r="B15" s="6">
        <v>223</v>
      </c>
      <c r="C15" s="2">
        <v>1</v>
      </c>
      <c r="D15" s="2">
        <v>0</v>
      </c>
      <c r="E15" s="2">
        <v>-66.599999999999994</v>
      </c>
      <c r="F15" s="3">
        <v>0</v>
      </c>
      <c r="G15" s="2">
        <v>0</v>
      </c>
      <c r="H15" s="3">
        <v>220</v>
      </c>
      <c r="I15" s="2">
        <v>1</v>
      </c>
      <c r="J15" s="3">
        <v>3</v>
      </c>
      <c r="K15" s="2">
        <v>0</v>
      </c>
      <c r="L15" s="3">
        <v>0</v>
      </c>
      <c r="M15" s="2">
        <v>0</v>
      </c>
      <c r="N15" s="3">
        <v>220</v>
      </c>
      <c r="O15" s="2">
        <v>1</v>
      </c>
      <c r="P15" s="3">
        <v>3</v>
      </c>
      <c r="Q15" s="2">
        <v>0</v>
      </c>
      <c r="R15" s="3">
        <v>0</v>
      </c>
      <c r="S15" s="2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</v>
      </c>
      <c r="Z15" s="8">
        <v>0</v>
      </c>
      <c r="AA15" s="8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1</v>
      </c>
      <c r="AI15" s="3">
        <v>9</v>
      </c>
      <c r="AJ15" s="2">
        <v>0</v>
      </c>
      <c r="AK15" s="4"/>
      <c r="AL15" s="4"/>
      <c r="AM15" s="4">
        <v>0</v>
      </c>
      <c r="AN15" s="4">
        <v>0</v>
      </c>
      <c r="AO15" s="4"/>
      <c r="AP15" s="4">
        <v>1</v>
      </c>
      <c r="AQ15" s="5">
        <v>0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spans="1:54" x14ac:dyDescent="0.25">
      <c r="A16" s="1">
        <v>45823</v>
      </c>
      <c r="B16" s="6">
        <v>231</v>
      </c>
      <c r="C16" s="2">
        <v>8</v>
      </c>
      <c r="D16" s="2">
        <v>700</v>
      </c>
      <c r="E16" s="2">
        <v>0</v>
      </c>
      <c r="F16" s="3">
        <v>0</v>
      </c>
      <c r="G16" s="2">
        <v>0</v>
      </c>
      <c r="H16" s="3">
        <v>228</v>
      </c>
      <c r="I16" s="2">
        <v>8</v>
      </c>
      <c r="J16" s="3">
        <v>3</v>
      </c>
      <c r="K16" s="2">
        <v>0</v>
      </c>
      <c r="L16" s="3">
        <v>0</v>
      </c>
      <c r="M16" s="2">
        <v>0</v>
      </c>
      <c r="N16" s="3">
        <v>228</v>
      </c>
      <c r="O16" s="2">
        <v>8</v>
      </c>
      <c r="P16" s="3">
        <v>3</v>
      </c>
      <c r="Q16" s="2">
        <v>0</v>
      </c>
      <c r="R16" s="3">
        <v>0</v>
      </c>
      <c r="S16" s="2">
        <v>0</v>
      </c>
      <c r="T16" s="8">
        <v>0</v>
      </c>
      <c r="U16" s="8">
        <v>0</v>
      </c>
      <c r="V16" s="8">
        <v>0</v>
      </c>
      <c r="W16" s="8">
        <v>0</v>
      </c>
      <c r="X16" s="8">
        <v>2</v>
      </c>
      <c r="Y16" s="8">
        <v>2</v>
      </c>
      <c r="Z16" s="8">
        <v>1</v>
      </c>
      <c r="AA16" s="8">
        <v>3</v>
      </c>
      <c r="AB16" s="7">
        <v>0</v>
      </c>
      <c r="AC16" s="7">
        <v>3</v>
      </c>
      <c r="AD16" s="7">
        <v>0</v>
      </c>
      <c r="AE16" s="7">
        <v>4</v>
      </c>
      <c r="AF16" s="7">
        <v>0</v>
      </c>
      <c r="AG16" s="7">
        <v>0</v>
      </c>
      <c r="AH16" s="7">
        <v>1</v>
      </c>
      <c r="AI16" s="3">
        <v>9</v>
      </c>
      <c r="AJ16" s="2">
        <v>0</v>
      </c>
      <c r="AK16" s="4"/>
      <c r="AL16" s="4"/>
      <c r="AM16" s="4">
        <v>1</v>
      </c>
      <c r="AN16" s="4">
        <v>6</v>
      </c>
      <c r="AO16" s="4"/>
      <c r="AP16" s="4">
        <v>1</v>
      </c>
      <c r="AQ16" s="5">
        <v>0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spans="1:54" x14ac:dyDescent="0.25">
      <c r="A17" s="1">
        <v>45830</v>
      </c>
      <c r="B17" s="6">
        <v>232</v>
      </c>
      <c r="C17" s="2">
        <v>1</v>
      </c>
      <c r="D17" s="2">
        <v>0</v>
      </c>
      <c r="E17" s="2">
        <v>0</v>
      </c>
      <c r="F17" s="3">
        <v>0</v>
      </c>
      <c r="G17" s="2">
        <v>0</v>
      </c>
      <c r="H17" s="3">
        <v>229</v>
      </c>
      <c r="I17" s="2">
        <v>1</v>
      </c>
      <c r="J17" s="3">
        <v>3</v>
      </c>
      <c r="K17" s="2">
        <v>0</v>
      </c>
      <c r="L17" s="3">
        <v>0</v>
      </c>
      <c r="M17" s="2">
        <v>0</v>
      </c>
      <c r="N17" s="3">
        <v>229</v>
      </c>
      <c r="O17" s="2">
        <v>1</v>
      </c>
      <c r="P17" s="3">
        <v>3</v>
      </c>
      <c r="Q17" s="2">
        <v>0</v>
      </c>
      <c r="R17" s="3">
        <v>0</v>
      </c>
      <c r="S17" s="2">
        <v>0</v>
      </c>
      <c r="T17" s="8">
        <v>0</v>
      </c>
      <c r="U17" s="8">
        <v>0</v>
      </c>
      <c r="V17" s="8">
        <v>0</v>
      </c>
      <c r="W17" s="8">
        <v>1</v>
      </c>
      <c r="X17" s="8">
        <v>0</v>
      </c>
      <c r="Y17" s="8">
        <v>0</v>
      </c>
      <c r="Z17" s="8">
        <v>0</v>
      </c>
      <c r="AA17" s="8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1</v>
      </c>
      <c r="AI17" s="3">
        <v>9</v>
      </c>
      <c r="AJ17" s="2">
        <v>0</v>
      </c>
      <c r="AK17" s="4"/>
      <c r="AL17" s="4"/>
      <c r="AM17" s="4">
        <v>0</v>
      </c>
      <c r="AN17" s="4">
        <v>0</v>
      </c>
      <c r="AO17" s="4"/>
      <c r="AP17" s="4">
        <v>1</v>
      </c>
      <c r="AQ17" s="5">
        <v>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</row>
    <row r="18" spans="1:54" x14ac:dyDescent="0.25">
      <c r="A18" s="1">
        <v>45838</v>
      </c>
      <c r="B18" s="6">
        <v>233</v>
      </c>
      <c r="C18" s="2">
        <v>1</v>
      </c>
      <c r="D18" s="2">
        <v>0</v>
      </c>
      <c r="E18" s="2">
        <v>0</v>
      </c>
      <c r="F18" s="3">
        <v>0</v>
      </c>
      <c r="G18" s="2">
        <v>0</v>
      </c>
      <c r="H18" s="3">
        <v>230</v>
      </c>
      <c r="I18" s="2">
        <v>1</v>
      </c>
      <c r="J18" s="3">
        <v>3</v>
      </c>
      <c r="K18" s="2">
        <v>0</v>
      </c>
      <c r="L18" s="3">
        <v>0</v>
      </c>
      <c r="M18" s="2">
        <v>0</v>
      </c>
      <c r="N18" s="3">
        <v>230</v>
      </c>
      <c r="O18" s="2">
        <v>1</v>
      </c>
      <c r="P18" s="3">
        <v>3</v>
      </c>
      <c r="Q18" s="2">
        <v>0</v>
      </c>
      <c r="R18" s="3">
        <v>0</v>
      </c>
      <c r="S18" s="2">
        <v>0</v>
      </c>
      <c r="T18" s="8">
        <v>0</v>
      </c>
      <c r="U18" s="8">
        <v>0</v>
      </c>
      <c r="V18" s="8">
        <v>0</v>
      </c>
      <c r="W18" s="8">
        <v>1</v>
      </c>
      <c r="X18" s="8">
        <v>0</v>
      </c>
      <c r="Y18" s="8">
        <v>0</v>
      </c>
      <c r="Z18" s="8">
        <v>0</v>
      </c>
      <c r="AA18" s="8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1</v>
      </c>
      <c r="AI18" s="3">
        <v>9</v>
      </c>
      <c r="AJ18" s="2">
        <v>0</v>
      </c>
      <c r="AK18" s="4"/>
      <c r="AL18" s="4"/>
      <c r="AM18" s="4">
        <v>0</v>
      </c>
      <c r="AN18" s="4">
        <v>0</v>
      </c>
      <c r="AO18" s="4"/>
      <c r="AP18" s="4">
        <v>1</v>
      </c>
      <c r="AQ18" s="5">
        <v>0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 spans="1:54" x14ac:dyDescent="0.25">
      <c r="A19" s="1">
        <v>45845</v>
      </c>
      <c r="B19" s="6">
        <v>237</v>
      </c>
      <c r="C19" s="2">
        <v>4</v>
      </c>
      <c r="D19" s="2">
        <v>0</v>
      </c>
      <c r="E19" s="2">
        <v>0</v>
      </c>
      <c r="F19" s="3">
        <v>0</v>
      </c>
      <c r="G19" s="2">
        <v>0</v>
      </c>
      <c r="H19" s="3">
        <v>234</v>
      </c>
      <c r="I19" s="2">
        <v>4</v>
      </c>
      <c r="J19" s="3">
        <v>3</v>
      </c>
      <c r="K19" s="2">
        <v>0</v>
      </c>
      <c r="L19" s="3">
        <v>0</v>
      </c>
      <c r="M19" s="2">
        <v>0</v>
      </c>
      <c r="N19" s="3">
        <v>234</v>
      </c>
      <c r="O19" s="2">
        <v>4</v>
      </c>
      <c r="P19" s="3">
        <v>3</v>
      </c>
      <c r="Q19" s="2">
        <v>0</v>
      </c>
      <c r="R19" s="3">
        <v>0</v>
      </c>
      <c r="S19" s="2">
        <v>0</v>
      </c>
      <c r="T19" s="8">
        <v>0</v>
      </c>
      <c r="U19" s="8">
        <v>1</v>
      </c>
      <c r="V19" s="8">
        <v>0</v>
      </c>
      <c r="W19" s="8">
        <v>1</v>
      </c>
      <c r="X19" s="8">
        <v>0</v>
      </c>
      <c r="Y19" s="8">
        <v>1</v>
      </c>
      <c r="Z19" s="8">
        <v>1</v>
      </c>
      <c r="AA19" s="8">
        <v>1</v>
      </c>
      <c r="AB19" s="7">
        <v>0</v>
      </c>
      <c r="AC19" s="7">
        <v>2</v>
      </c>
      <c r="AD19" s="7">
        <v>0</v>
      </c>
      <c r="AE19" s="7">
        <v>1</v>
      </c>
      <c r="AF19" s="7">
        <v>0</v>
      </c>
      <c r="AG19" s="7">
        <v>0</v>
      </c>
      <c r="AH19" s="7">
        <v>1</v>
      </c>
      <c r="AI19" s="3">
        <v>9</v>
      </c>
      <c r="AJ19" s="2">
        <v>0</v>
      </c>
      <c r="AK19" s="4"/>
      <c r="AL19" s="4"/>
      <c r="AM19" s="4">
        <v>0</v>
      </c>
      <c r="AN19" s="4">
        <v>0</v>
      </c>
      <c r="AO19" s="4"/>
      <c r="AP19" s="4">
        <v>4</v>
      </c>
      <c r="AQ19" s="5">
        <v>0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spans="1:54" x14ac:dyDescent="0.25">
      <c r="A20" s="1">
        <v>45852</v>
      </c>
      <c r="B20" s="6">
        <v>253</v>
      </c>
      <c r="C20" s="2">
        <v>16</v>
      </c>
      <c r="D20" s="2">
        <v>500</v>
      </c>
      <c r="E20" s="2">
        <v>0</v>
      </c>
      <c r="F20" s="3">
        <v>0</v>
      </c>
      <c r="G20" s="2">
        <v>0</v>
      </c>
      <c r="H20" s="3">
        <v>249</v>
      </c>
      <c r="I20" s="2">
        <v>15</v>
      </c>
      <c r="J20" s="3">
        <v>4</v>
      </c>
      <c r="K20" s="2">
        <v>1</v>
      </c>
      <c r="L20" s="3">
        <v>0</v>
      </c>
      <c r="M20" s="2">
        <v>0</v>
      </c>
      <c r="N20" s="3">
        <v>249</v>
      </c>
      <c r="O20" s="2">
        <v>15</v>
      </c>
      <c r="P20" s="3">
        <v>4</v>
      </c>
      <c r="Q20" s="2">
        <v>1</v>
      </c>
      <c r="R20" s="3">
        <v>0</v>
      </c>
      <c r="S20" s="2">
        <v>0</v>
      </c>
      <c r="T20" s="8">
        <v>2</v>
      </c>
      <c r="U20" s="8">
        <v>2</v>
      </c>
      <c r="V20" s="8">
        <v>0</v>
      </c>
      <c r="W20" s="8">
        <v>0</v>
      </c>
      <c r="X20" s="8">
        <v>0</v>
      </c>
      <c r="Y20" s="8">
        <v>5</v>
      </c>
      <c r="Z20" s="8">
        <v>2</v>
      </c>
      <c r="AA20" s="8">
        <v>4</v>
      </c>
      <c r="AB20" s="7">
        <v>0</v>
      </c>
      <c r="AC20" s="7">
        <v>2</v>
      </c>
      <c r="AD20" s="7">
        <v>0</v>
      </c>
      <c r="AE20" s="7">
        <v>4</v>
      </c>
      <c r="AF20" s="7">
        <v>0</v>
      </c>
      <c r="AG20" s="7">
        <v>0</v>
      </c>
      <c r="AH20" s="7">
        <v>10</v>
      </c>
      <c r="AI20" s="3">
        <v>9</v>
      </c>
      <c r="AJ20" s="2">
        <v>0</v>
      </c>
      <c r="AK20" s="4"/>
      <c r="AL20" s="4"/>
      <c r="AM20" s="4">
        <v>0</v>
      </c>
      <c r="AN20" s="4">
        <v>4</v>
      </c>
      <c r="AO20" s="4"/>
      <c r="AP20" s="4">
        <v>12</v>
      </c>
      <c r="AQ20" s="5">
        <v>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spans="1:54" x14ac:dyDescent="0.25">
      <c r="A21" s="1">
        <v>45859</v>
      </c>
      <c r="B21" s="6">
        <v>258</v>
      </c>
      <c r="C21" s="2">
        <v>5</v>
      </c>
      <c r="D21" s="2">
        <v>0</v>
      </c>
      <c r="E21" s="2">
        <v>68.75</v>
      </c>
      <c r="F21" s="3">
        <v>0</v>
      </c>
      <c r="G21" s="2">
        <v>0</v>
      </c>
      <c r="H21" s="3">
        <v>254</v>
      </c>
      <c r="I21" s="2">
        <v>5</v>
      </c>
      <c r="J21" s="3">
        <v>4</v>
      </c>
      <c r="K21" s="2">
        <v>0</v>
      </c>
      <c r="L21" s="3">
        <v>0</v>
      </c>
      <c r="M21" s="2">
        <v>0</v>
      </c>
      <c r="N21" s="3">
        <v>254</v>
      </c>
      <c r="O21" s="2">
        <v>5</v>
      </c>
      <c r="P21" s="3">
        <v>4</v>
      </c>
      <c r="Q21" s="2">
        <v>0</v>
      </c>
      <c r="R21" s="3">
        <v>0</v>
      </c>
      <c r="S21" s="2">
        <v>0</v>
      </c>
      <c r="T21" s="8">
        <v>3</v>
      </c>
      <c r="U21" s="8">
        <v>0</v>
      </c>
      <c r="V21" s="8">
        <v>0</v>
      </c>
      <c r="W21" s="8">
        <v>0</v>
      </c>
      <c r="X21" s="8">
        <v>1</v>
      </c>
      <c r="Y21" s="8">
        <v>0</v>
      </c>
      <c r="Z21" s="8">
        <v>0</v>
      </c>
      <c r="AA21" s="8">
        <v>1</v>
      </c>
      <c r="AB21" s="7">
        <v>0</v>
      </c>
      <c r="AC21" s="7">
        <v>1</v>
      </c>
      <c r="AD21" s="7">
        <v>0</v>
      </c>
      <c r="AE21" s="7">
        <v>1</v>
      </c>
      <c r="AF21" s="7">
        <v>0</v>
      </c>
      <c r="AG21" s="7">
        <v>0</v>
      </c>
      <c r="AH21" s="7">
        <v>3</v>
      </c>
      <c r="AI21" s="3">
        <v>9</v>
      </c>
      <c r="AJ21" s="2">
        <v>0</v>
      </c>
      <c r="AK21" s="4"/>
      <c r="AL21" s="4"/>
      <c r="AM21" s="4">
        <v>0</v>
      </c>
      <c r="AN21" s="4">
        <v>5</v>
      </c>
      <c r="AO21" s="4"/>
      <c r="AP21" s="4">
        <v>0</v>
      </c>
      <c r="AQ21" s="5">
        <v>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</row>
    <row r="22" spans="1:54" x14ac:dyDescent="0.25">
      <c r="A22" s="1">
        <v>45866</v>
      </c>
      <c r="B22" s="6">
        <v>269</v>
      </c>
      <c r="C22" s="2">
        <v>11</v>
      </c>
      <c r="D22" s="2">
        <v>120</v>
      </c>
      <c r="E22" s="2">
        <v>0</v>
      </c>
      <c r="F22" s="3">
        <v>0</v>
      </c>
      <c r="G22" s="2">
        <v>0</v>
      </c>
      <c r="H22" s="3">
        <v>264</v>
      </c>
      <c r="I22" s="2">
        <v>10</v>
      </c>
      <c r="J22" s="3">
        <v>5</v>
      </c>
      <c r="K22" s="2">
        <v>1</v>
      </c>
      <c r="L22" s="3">
        <v>0</v>
      </c>
      <c r="M22" s="2">
        <v>0</v>
      </c>
      <c r="N22" s="3">
        <v>264</v>
      </c>
      <c r="O22" s="2">
        <v>10</v>
      </c>
      <c r="P22" s="3">
        <v>5</v>
      </c>
      <c r="Q22" s="2">
        <v>1</v>
      </c>
      <c r="R22" s="3">
        <v>0</v>
      </c>
      <c r="S22" s="2">
        <v>0</v>
      </c>
      <c r="T22" s="8">
        <v>1</v>
      </c>
      <c r="U22" s="8">
        <v>4</v>
      </c>
      <c r="V22" s="8">
        <v>0</v>
      </c>
      <c r="W22" s="8">
        <v>0</v>
      </c>
      <c r="X22" s="8">
        <v>0</v>
      </c>
      <c r="Y22" s="8">
        <v>2</v>
      </c>
      <c r="Z22" s="8">
        <v>2</v>
      </c>
      <c r="AA22" s="8">
        <v>2</v>
      </c>
      <c r="AB22" s="7">
        <v>1</v>
      </c>
      <c r="AC22" s="7">
        <v>2</v>
      </c>
      <c r="AD22" s="7">
        <v>1</v>
      </c>
      <c r="AE22" s="7">
        <v>5</v>
      </c>
      <c r="AF22" s="7">
        <v>0</v>
      </c>
      <c r="AG22" s="7">
        <v>0</v>
      </c>
      <c r="AH22" s="7">
        <v>2</v>
      </c>
      <c r="AI22" s="3">
        <v>9</v>
      </c>
      <c r="AJ22" s="2">
        <v>0</v>
      </c>
      <c r="AK22" s="4"/>
      <c r="AL22" s="4"/>
      <c r="AM22" s="4">
        <v>0</v>
      </c>
      <c r="AN22" s="4">
        <v>9</v>
      </c>
      <c r="AO22" s="4"/>
      <c r="AP22" s="4">
        <v>2</v>
      </c>
      <c r="AQ22" s="5">
        <v>0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</row>
    <row r="23" spans="1:54" x14ac:dyDescent="0.25">
      <c r="A23" s="1">
        <v>45873</v>
      </c>
      <c r="B23" s="6">
        <v>275</v>
      </c>
      <c r="C23" s="2">
        <v>6</v>
      </c>
      <c r="D23" s="2">
        <v>0</v>
      </c>
      <c r="E23" s="2">
        <v>45.45</v>
      </c>
      <c r="F23" s="3">
        <v>0</v>
      </c>
      <c r="G23" s="2">
        <v>0</v>
      </c>
      <c r="H23" s="3">
        <v>270</v>
      </c>
      <c r="I23" s="2">
        <v>6</v>
      </c>
      <c r="J23" s="3">
        <v>5</v>
      </c>
      <c r="K23" s="2">
        <v>0</v>
      </c>
      <c r="L23" s="3">
        <v>0</v>
      </c>
      <c r="M23" s="2">
        <v>0</v>
      </c>
      <c r="N23" s="3">
        <v>270</v>
      </c>
      <c r="O23" s="2">
        <v>6</v>
      </c>
      <c r="P23" s="3">
        <v>5</v>
      </c>
      <c r="Q23" s="2">
        <v>0</v>
      </c>
      <c r="R23" s="3">
        <v>0</v>
      </c>
      <c r="S23" s="2">
        <v>0</v>
      </c>
      <c r="T23" s="8">
        <v>0</v>
      </c>
      <c r="U23" s="8">
        <v>1</v>
      </c>
      <c r="V23" s="8">
        <v>0</v>
      </c>
      <c r="W23" s="8">
        <v>1</v>
      </c>
      <c r="X23" s="8">
        <v>0</v>
      </c>
      <c r="Y23" s="8">
        <v>1</v>
      </c>
      <c r="Z23" s="8">
        <v>2</v>
      </c>
      <c r="AA23" s="8">
        <v>1</v>
      </c>
      <c r="AB23" s="7">
        <v>0</v>
      </c>
      <c r="AC23" s="7">
        <v>2</v>
      </c>
      <c r="AD23" s="7">
        <v>0</v>
      </c>
      <c r="AE23" s="7">
        <v>2</v>
      </c>
      <c r="AF23" s="7">
        <v>0</v>
      </c>
      <c r="AG23" s="7">
        <v>0</v>
      </c>
      <c r="AH23" s="7">
        <v>2</v>
      </c>
      <c r="AI23" s="3">
        <v>9</v>
      </c>
      <c r="AJ23" s="2">
        <v>0</v>
      </c>
      <c r="AK23" s="4"/>
      <c r="AL23" s="4"/>
      <c r="AM23" s="4">
        <v>0</v>
      </c>
      <c r="AN23" s="4">
        <v>5</v>
      </c>
      <c r="AO23" s="4"/>
      <c r="AP23" s="4">
        <v>1</v>
      </c>
      <c r="AQ23" s="5">
        <v>0</v>
      </c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</row>
    <row r="24" spans="1:54" x14ac:dyDescent="0.25">
      <c r="A24" s="1">
        <v>45880</v>
      </c>
      <c r="B24" s="6">
        <v>280</v>
      </c>
      <c r="C24" s="2">
        <v>5</v>
      </c>
      <c r="D24" s="2">
        <v>16.600000000000001</v>
      </c>
      <c r="E24" s="2">
        <v>0</v>
      </c>
      <c r="F24" s="3">
        <v>0</v>
      </c>
      <c r="G24" s="2">
        <v>0</v>
      </c>
      <c r="H24" s="3">
        <v>275</v>
      </c>
      <c r="I24" s="2">
        <v>5</v>
      </c>
      <c r="J24" s="3">
        <v>5</v>
      </c>
      <c r="K24" s="2">
        <v>0</v>
      </c>
      <c r="L24" s="3">
        <v>0</v>
      </c>
      <c r="M24" s="2">
        <v>0</v>
      </c>
      <c r="N24" s="3">
        <v>275</v>
      </c>
      <c r="O24" s="2">
        <v>5</v>
      </c>
      <c r="P24" s="3">
        <v>5</v>
      </c>
      <c r="Q24" s="2">
        <v>0</v>
      </c>
      <c r="R24" s="3">
        <v>0</v>
      </c>
      <c r="S24" s="2">
        <v>0</v>
      </c>
      <c r="T24" s="8">
        <v>0</v>
      </c>
      <c r="U24" s="8">
        <v>0</v>
      </c>
      <c r="V24" s="8">
        <v>1</v>
      </c>
      <c r="W24" s="8">
        <v>0</v>
      </c>
      <c r="X24" s="8">
        <v>0</v>
      </c>
      <c r="Y24" s="8">
        <v>1</v>
      </c>
      <c r="Z24" s="8">
        <v>0</v>
      </c>
      <c r="AA24" s="8">
        <v>3</v>
      </c>
      <c r="AB24" s="7">
        <v>1</v>
      </c>
      <c r="AC24" s="7">
        <v>1</v>
      </c>
      <c r="AD24" s="7">
        <v>0</v>
      </c>
      <c r="AE24" s="7">
        <v>3</v>
      </c>
      <c r="AF24" s="7">
        <v>0</v>
      </c>
      <c r="AG24" s="7">
        <v>0</v>
      </c>
      <c r="AH24" s="7">
        <v>0</v>
      </c>
      <c r="AI24" s="3">
        <v>9</v>
      </c>
      <c r="AJ24" s="2">
        <v>0</v>
      </c>
      <c r="AK24" s="4"/>
      <c r="AL24" s="4"/>
      <c r="AM24" s="4">
        <v>0</v>
      </c>
      <c r="AN24" s="4">
        <v>3</v>
      </c>
      <c r="AO24" s="4"/>
      <c r="AP24" s="4">
        <v>2</v>
      </c>
      <c r="AQ24" s="5">
        <v>0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</row>
    <row r="25" spans="1:54" x14ac:dyDescent="0.25">
      <c r="A25" s="1">
        <v>45887</v>
      </c>
      <c r="B25" s="6">
        <v>287</v>
      </c>
      <c r="C25" s="2">
        <v>7</v>
      </c>
      <c r="D25" s="2">
        <v>40</v>
      </c>
      <c r="E25" s="2">
        <v>0</v>
      </c>
      <c r="F25" s="3">
        <v>0</v>
      </c>
      <c r="G25" s="2">
        <v>0</v>
      </c>
      <c r="H25" s="3">
        <v>282</v>
      </c>
      <c r="I25" s="2">
        <v>7</v>
      </c>
      <c r="J25" s="3">
        <v>5</v>
      </c>
      <c r="K25" s="2">
        <v>0</v>
      </c>
      <c r="L25" s="3">
        <v>0</v>
      </c>
      <c r="M25" s="2">
        <v>0</v>
      </c>
      <c r="N25" s="3">
        <v>282</v>
      </c>
      <c r="O25" s="2">
        <v>7</v>
      </c>
      <c r="P25" s="3">
        <v>5</v>
      </c>
      <c r="Q25" s="2">
        <v>0</v>
      </c>
      <c r="R25" s="3">
        <v>0</v>
      </c>
      <c r="S25" s="2">
        <v>0</v>
      </c>
      <c r="T25" s="8">
        <v>3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2</v>
      </c>
      <c r="AA25" s="8">
        <v>1</v>
      </c>
      <c r="AB25" s="7">
        <v>0</v>
      </c>
      <c r="AC25" s="7">
        <v>1</v>
      </c>
      <c r="AD25" s="7">
        <v>0</v>
      </c>
      <c r="AE25" s="7">
        <v>3</v>
      </c>
      <c r="AF25" s="7">
        <v>0</v>
      </c>
      <c r="AG25" s="7">
        <v>0</v>
      </c>
      <c r="AH25" s="7">
        <v>3</v>
      </c>
      <c r="AI25" s="3">
        <v>9</v>
      </c>
      <c r="AJ25" s="2">
        <v>0</v>
      </c>
      <c r="AK25" s="4"/>
      <c r="AL25" s="4"/>
      <c r="AM25" s="4">
        <v>0</v>
      </c>
      <c r="AN25" s="4">
        <v>4</v>
      </c>
      <c r="AO25" s="4"/>
      <c r="AP25" s="4">
        <v>3</v>
      </c>
      <c r="AQ25" s="5">
        <v>0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</row>
    <row r="26" spans="1:54" x14ac:dyDescent="0.25">
      <c r="A26" s="1">
        <v>45894</v>
      </c>
      <c r="B26" s="6">
        <v>296</v>
      </c>
      <c r="C26" s="2">
        <v>9</v>
      </c>
      <c r="D26" s="2">
        <v>28.57</v>
      </c>
      <c r="E26" s="2">
        <v>0</v>
      </c>
      <c r="F26" s="3">
        <v>0</v>
      </c>
      <c r="G26" s="2">
        <v>0</v>
      </c>
      <c r="H26" s="3">
        <v>291</v>
      </c>
      <c r="I26" s="2">
        <v>9</v>
      </c>
      <c r="J26" s="3">
        <v>5</v>
      </c>
      <c r="K26" s="2">
        <v>0</v>
      </c>
      <c r="L26" s="3">
        <v>0</v>
      </c>
      <c r="M26" s="2">
        <v>0</v>
      </c>
      <c r="N26" s="3">
        <v>291</v>
      </c>
      <c r="O26" s="2">
        <v>9</v>
      </c>
      <c r="P26" s="3">
        <v>5</v>
      </c>
      <c r="Q26" s="2">
        <v>0</v>
      </c>
      <c r="R26" s="3">
        <v>0</v>
      </c>
      <c r="S26" s="2">
        <v>0</v>
      </c>
      <c r="T26" s="8">
        <v>2</v>
      </c>
      <c r="U26" s="8">
        <v>1</v>
      </c>
      <c r="V26" s="8">
        <v>0</v>
      </c>
      <c r="W26" s="8">
        <v>0</v>
      </c>
      <c r="X26" s="8">
        <v>0</v>
      </c>
      <c r="Y26" s="8">
        <v>1</v>
      </c>
      <c r="Z26" s="8">
        <v>3</v>
      </c>
      <c r="AA26" s="8">
        <v>2</v>
      </c>
      <c r="AB26" s="7">
        <v>0</v>
      </c>
      <c r="AC26" s="7">
        <v>1</v>
      </c>
      <c r="AD26" s="7">
        <v>0</v>
      </c>
      <c r="AE26" s="7">
        <v>3</v>
      </c>
      <c r="AF26" s="7">
        <v>0</v>
      </c>
      <c r="AG26" s="7">
        <v>0</v>
      </c>
      <c r="AH26" s="7">
        <v>5</v>
      </c>
      <c r="AI26" s="3">
        <v>9</v>
      </c>
      <c r="AJ26" s="2">
        <v>0</v>
      </c>
      <c r="AK26" s="4"/>
      <c r="AL26" s="4"/>
      <c r="AM26" s="4">
        <v>0</v>
      </c>
      <c r="AN26" s="4">
        <v>5</v>
      </c>
      <c r="AO26" s="4"/>
      <c r="AP26" s="4">
        <v>4</v>
      </c>
      <c r="AQ26" s="5">
        <v>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</row>
    <row r="27" spans="1:54" x14ac:dyDescent="0.25">
      <c r="A27" s="1">
        <v>45901</v>
      </c>
      <c r="B27" s="6">
        <v>299</v>
      </c>
      <c r="C27" s="2">
        <v>3</v>
      </c>
      <c r="D27" s="2">
        <v>0</v>
      </c>
      <c r="E27" s="2">
        <v>66.599999999999994</v>
      </c>
      <c r="F27" s="3">
        <v>0</v>
      </c>
      <c r="G27" s="2">
        <v>0</v>
      </c>
      <c r="H27" s="3">
        <v>294</v>
      </c>
      <c r="I27" s="2">
        <v>3</v>
      </c>
      <c r="J27" s="3">
        <v>5</v>
      </c>
      <c r="K27" s="2">
        <v>0</v>
      </c>
      <c r="L27" s="3">
        <v>0</v>
      </c>
      <c r="M27" s="2">
        <v>0</v>
      </c>
      <c r="N27" s="3">
        <v>294</v>
      </c>
      <c r="O27" s="2">
        <v>3</v>
      </c>
      <c r="P27" s="3">
        <v>5</v>
      </c>
      <c r="Q27" s="2">
        <v>0</v>
      </c>
      <c r="R27" s="3">
        <v>0</v>
      </c>
      <c r="S27" s="2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2</v>
      </c>
      <c r="Z27" s="8">
        <v>0</v>
      </c>
      <c r="AA27" s="8">
        <v>1</v>
      </c>
      <c r="AB27" s="7">
        <v>0</v>
      </c>
      <c r="AC27" s="7">
        <v>2</v>
      </c>
      <c r="AD27" s="7">
        <v>0</v>
      </c>
      <c r="AE27" s="7">
        <v>1</v>
      </c>
      <c r="AF27" s="7">
        <v>0</v>
      </c>
      <c r="AG27" s="7">
        <v>0</v>
      </c>
      <c r="AH27" s="7">
        <v>0</v>
      </c>
      <c r="AI27" s="3">
        <v>9</v>
      </c>
      <c r="AJ27" s="2">
        <v>0</v>
      </c>
      <c r="AK27" s="4"/>
      <c r="AL27" s="4"/>
      <c r="AM27" s="4">
        <v>0</v>
      </c>
      <c r="AN27" s="4">
        <v>2</v>
      </c>
      <c r="AO27" s="4"/>
      <c r="AP27" s="4">
        <v>1</v>
      </c>
      <c r="AQ27" s="5">
        <v>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spans="1:54" x14ac:dyDescent="0.25">
      <c r="A28" s="1">
        <v>45908</v>
      </c>
      <c r="B28" s="6">
        <v>318</v>
      </c>
      <c r="C28" s="2">
        <v>19</v>
      </c>
      <c r="D28" s="2">
        <v>533</v>
      </c>
      <c r="E28" s="2">
        <v>0</v>
      </c>
      <c r="F28" s="3">
        <v>0</v>
      </c>
      <c r="G28" s="2">
        <v>0</v>
      </c>
      <c r="H28" s="3">
        <v>313</v>
      </c>
      <c r="I28" s="2">
        <v>19</v>
      </c>
      <c r="J28" s="3">
        <v>5</v>
      </c>
      <c r="K28" s="2">
        <v>0</v>
      </c>
      <c r="L28" s="3">
        <v>0</v>
      </c>
      <c r="M28" s="2">
        <v>0</v>
      </c>
      <c r="N28" s="3">
        <v>313</v>
      </c>
      <c r="O28" s="2">
        <v>19</v>
      </c>
      <c r="P28" s="3">
        <v>5</v>
      </c>
      <c r="Q28" s="2">
        <v>0</v>
      </c>
      <c r="R28" s="3">
        <v>0</v>
      </c>
      <c r="S28" s="2">
        <v>0</v>
      </c>
      <c r="T28" s="8">
        <v>5</v>
      </c>
      <c r="U28" s="8">
        <v>2</v>
      </c>
      <c r="V28" s="8">
        <v>1</v>
      </c>
      <c r="W28" s="8">
        <v>0</v>
      </c>
      <c r="X28" s="8">
        <v>4</v>
      </c>
      <c r="Y28" s="8">
        <v>1</v>
      </c>
      <c r="Z28" s="8">
        <v>3</v>
      </c>
      <c r="AA28" s="8">
        <v>3</v>
      </c>
      <c r="AB28" s="7">
        <v>1</v>
      </c>
      <c r="AC28" s="7">
        <v>0</v>
      </c>
      <c r="AD28" s="7">
        <v>1</v>
      </c>
      <c r="AE28" s="7">
        <v>4</v>
      </c>
      <c r="AF28" s="7">
        <v>0</v>
      </c>
      <c r="AG28" s="7">
        <v>0</v>
      </c>
      <c r="AH28" s="7">
        <v>13</v>
      </c>
      <c r="AI28" s="3">
        <v>9</v>
      </c>
      <c r="AJ28" s="2">
        <v>0</v>
      </c>
      <c r="AK28" s="4"/>
      <c r="AL28" s="4"/>
      <c r="AM28" s="4">
        <v>0</v>
      </c>
      <c r="AN28" s="4">
        <v>14</v>
      </c>
      <c r="AO28" s="4"/>
      <c r="AP28" s="4">
        <v>5</v>
      </c>
      <c r="AQ28" s="5">
        <v>0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</row>
    <row r="29" spans="1:54" x14ac:dyDescent="0.25">
      <c r="A29" s="1">
        <v>45915</v>
      </c>
      <c r="B29" s="6">
        <v>340</v>
      </c>
      <c r="C29" s="2">
        <v>22</v>
      </c>
      <c r="D29" s="2">
        <v>15.7</v>
      </c>
      <c r="E29" s="2">
        <v>0</v>
      </c>
      <c r="F29" s="3">
        <v>0</v>
      </c>
      <c r="G29" s="2">
        <v>0</v>
      </c>
      <c r="H29" s="3">
        <v>335</v>
      </c>
      <c r="I29" s="2">
        <v>22</v>
      </c>
      <c r="J29" s="3">
        <v>5</v>
      </c>
      <c r="K29" s="2">
        <v>0</v>
      </c>
      <c r="L29" s="3">
        <v>0</v>
      </c>
      <c r="M29" s="2">
        <v>0</v>
      </c>
      <c r="N29" s="3">
        <v>335</v>
      </c>
      <c r="O29" s="2">
        <v>22</v>
      </c>
      <c r="P29" s="3">
        <v>5</v>
      </c>
      <c r="Q29" s="2">
        <v>0</v>
      </c>
      <c r="R29" s="3">
        <v>0</v>
      </c>
      <c r="S29" s="2">
        <v>0</v>
      </c>
      <c r="T29" s="8">
        <v>3</v>
      </c>
      <c r="U29" s="8">
        <v>3</v>
      </c>
      <c r="V29" s="8">
        <v>4</v>
      </c>
      <c r="W29" s="8">
        <v>2</v>
      </c>
      <c r="X29" s="8">
        <v>3</v>
      </c>
      <c r="Y29" s="8">
        <v>4</v>
      </c>
      <c r="Z29" s="8">
        <v>1</v>
      </c>
      <c r="AA29" s="8">
        <v>2</v>
      </c>
      <c r="AB29" s="7">
        <v>4</v>
      </c>
      <c r="AC29" s="7">
        <v>1</v>
      </c>
      <c r="AD29" s="7"/>
      <c r="AE29" s="7">
        <v>3</v>
      </c>
      <c r="AF29" s="7">
        <v>0</v>
      </c>
      <c r="AG29" s="7"/>
      <c r="AH29" s="7">
        <v>14</v>
      </c>
      <c r="AI29" s="3">
        <v>9</v>
      </c>
      <c r="AJ29" s="2">
        <v>0</v>
      </c>
      <c r="AK29" s="4"/>
      <c r="AL29" s="4"/>
      <c r="AM29" s="4">
        <v>0</v>
      </c>
      <c r="AN29" s="4">
        <v>10</v>
      </c>
      <c r="AO29" s="4"/>
      <c r="AP29" s="4">
        <v>12</v>
      </c>
      <c r="AQ29" s="5">
        <v>0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</row>
    <row r="30" spans="1:54" x14ac:dyDescent="0.25">
      <c r="A30" s="1">
        <v>45922</v>
      </c>
      <c r="B30" s="6">
        <v>356</v>
      </c>
      <c r="C30" s="2">
        <v>16</v>
      </c>
      <c r="D30" s="2">
        <v>0</v>
      </c>
      <c r="E30" s="2">
        <v>27</v>
      </c>
      <c r="F30" s="3">
        <v>0</v>
      </c>
      <c r="G30" s="2">
        <v>0</v>
      </c>
      <c r="H30" s="3">
        <v>351</v>
      </c>
      <c r="I30" s="2">
        <v>16</v>
      </c>
      <c r="J30" s="3">
        <v>5</v>
      </c>
      <c r="K30" s="2">
        <v>0</v>
      </c>
      <c r="L30" s="3">
        <v>0</v>
      </c>
      <c r="M30" s="2">
        <v>0</v>
      </c>
      <c r="N30" s="3">
        <v>351</v>
      </c>
      <c r="O30" s="2">
        <v>16</v>
      </c>
      <c r="P30" s="3">
        <v>5</v>
      </c>
      <c r="Q30" s="2">
        <v>0</v>
      </c>
      <c r="R30" s="3">
        <v>0</v>
      </c>
      <c r="S30" s="2">
        <v>0</v>
      </c>
      <c r="T30" s="8">
        <v>2</v>
      </c>
      <c r="U30" s="8">
        <v>2</v>
      </c>
      <c r="V30" s="8">
        <v>1</v>
      </c>
      <c r="W30" s="8">
        <v>1</v>
      </c>
      <c r="X30" s="8">
        <v>0</v>
      </c>
      <c r="Y30" s="8">
        <v>3</v>
      </c>
      <c r="Z30" s="8">
        <v>3</v>
      </c>
      <c r="AA30" s="8">
        <v>4</v>
      </c>
      <c r="AB30" s="7">
        <v>3</v>
      </c>
      <c r="AC30" s="7">
        <v>1</v>
      </c>
      <c r="AD30" s="7"/>
      <c r="AE30" s="7">
        <v>6</v>
      </c>
      <c r="AF30" s="7">
        <v>0</v>
      </c>
      <c r="AG30" s="7"/>
      <c r="AH30" s="7">
        <v>6</v>
      </c>
      <c r="AI30" s="3">
        <v>9</v>
      </c>
      <c r="AJ30" s="2">
        <v>0</v>
      </c>
      <c r="AK30" s="4"/>
      <c r="AL30" s="4"/>
      <c r="AM30" s="4">
        <v>0</v>
      </c>
      <c r="AN30" s="4">
        <v>9</v>
      </c>
      <c r="AO30" s="4"/>
      <c r="AP30" s="4">
        <v>7</v>
      </c>
      <c r="AQ30" s="5">
        <v>0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</row>
    <row r="31" spans="1:54" x14ac:dyDescent="0.25">
      <c r="A31" s="1">
        <v>45929</v>
      </c>
      <c r="B31" s="6">
        <v>368</v>
      </c>
      <c r="C31" s="2">
        <v>12</v>
      </c>
      <c r="D31" s="2">
        <v>0</v>
      </c>
      <c r="E31" s="2">
        <v>25</v>
      </c>
      <c r="F31" s="3">
        <v>0</v>
      </c>
      <c r="G31" s="2">
        <v>0</v>
      </c>
      <c r="H31" s="3">
        <v>363</v>
      </c>
      <c r="I31" s="2">
        <v>12</v>
      </c>
      <c r="J31" s="3">
        <v>5</v>
      </c>
      <c r="K31" s="2">
        <v>0</v>
      </c>
      <c r="L31" s="3">
        <v>0</v>
      </c>
      <c r="M31" s="2">
        <v>0</v>
      </c>
      <c r="N31" s="3">
        <v>363</v>
      </c>
      <c r="O31" s="2">
        <v>12</v>
      </c>
      <c r="P31" s="3">
        <v>5</v>
      </c>
      <c r="Q31" s="2">
        <v>0</v>
      </c>
      <c r="R31" s="3">
        <v>0</v>
      </c>
      <c r="S31" s="2">
        <v>0</v>
      </c>
      <c r="T31" s="8">
        <v>1</v>
      </c>
      <c r="U31" s="8">
        <v>2</v>
      </c>
      <c r="V31" s="8">
        <v>1</v>
      </c>
      <c r="W31" s="8">
        <v>0</v>
      </c>
      <c r="X31" s="8">
        <v>0</v>
      </c>
      <c r="Y31" s="8">
        <v>3</v>
      </c>
      <c r="Z31" s="8">
        <v>1</v>
      </c>
      <c r="AA31" s="8">
        <v>4</v>
      </c>
      <c r="AB31" s="7">
        <v>1</v>
      </c>
      <c r="AC31" s="7">
        <v>2</v>
      </c>
      <c r="AD31" s="7"/>
      <c r="AE31" s="7">
        <v>5</v>
      </c>
      <c r="AF31" s="7">
        <v>0</v>
      </c>
      <c r="AG31" s="7"/>
      <c r="AH31" s="7">
        <v>4</v>
      </c>
      <c r="AI31" s="3">
        <v>9</v>
      </c>
      <c r="AJ31" s="2">
        <v>0</v>
      </c>
      <c r="AK31" s="4"/>
      <c r="AL31" s="4"/>
      <c r="AM31" s="4">
        <v>0</v>
      </c>
      <c r="AN31" s="4">
        <v>7</v>
      </c>
      <c r="AO31" s="4"/>
      <c r="AP31" s="4">
        <v>5</v>
      </c>
      <c r="AQ31" s="5">
        <v>0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</row>
    <row r="32" spans="1:54" x14ac:dyDescent="0.25">
      <c r="A32" s="1">
        <v>45936</v>
      </c>
      <c r="B32" s="6">
        <v>378</v>
      </c>
      <c r="C32" s="2">
        <v>10</v>
      </c>
      <c r="D32" s="2">
        <v>0</v>
      </c>
      <c r="E32" s="2">
        <v>16.600000000000001</v>
      </c>
      <c r="F32" s="3">
        <v>0</v>
      </c>
      <c r="G32" s="2">
        <v>0</v>
      </c>
      <c r="H32" s="3">
        <v>373</v>
      </c>
      <c r="I32" s="2">
        <v>10</v>
      </c>
      <c r="J32" s="3">
        <v>5</v>
      </c>
      <c r="K32" s="2">
        <v>0</v>
      </c>
      <c r="L32" s="3">
        <v>0</v>
      </c>
      <c r="M32" s="2">
        <v>0</v>
      </c>
      <c r="N32" s="3">
        <v>373</v>
      </c>
      <c r="O32" s="2">
        <v>10</v>
      </c>
      <c r="P32" s="3">
        <v>5</v>
      </c>
      <c r="Q32" s="2">
        <v>0</v>
      </c>
      <c r="R32" s="3">
        <v>0</v>
      </c>
      <c r="S32" s="2">
        <v>0</v>
      </c>
      <c r="T32" s="8">
        <v>1</v>
      </c>
      <c r="U32" s="8">
        <v>3</v>
      </c>
      <c r="V32" s="8">
        <v>0</v>
      </c>
      <c r="W32" s="8">
        <v>0</v>
      </c>
      <c r="X32" s="8">
        <v>1</v>
      </c>
      <c r="Y32" s="8">
        <v>1</v>
      </c>
      <c r="Z32" s="8">
        <v>0</v>
      </c>
      <c r="AA32" s="8">
        <v>4</v>
      </c>
      <c r="AB32" s="7">
        <v>0</v>
      </c>
      <c r="AC32" s="7">
        <v>1</v>
      </c>
      <c r="AD32" s="7">
        <v>0</v>
      </c>
      <c r="AE32" s="7">
        <v>2</v>
      </c>
      <c r="AF32" s="7">
        <v>0</v>
      </c>
      <c r="AG32" s="7"/>
      <c r="AH32" s="7">
        <v>7</v>
      </c>
      <c r="AI32" s="3">
        <v>9</v>
      </c>
      <c r="AJ32" s="2">
        <v>0</v>
      </c>
      <c r="AK32" s="4"/>
      <c r="AL32" s="4"/>
      <c r="AM32" s="4">
        <v>0</v>
      </c>
      <c r="AN32" s="4">
        <v>7</v>
      </c>
      <c r="AO32" s="4"/>
      <c r="AP32" s="4">
        <v>3</v>
      </c>
      <c r="AQ32" s="5">
        <v>0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</row>
    <row r="33" spans="1:54" x14ac:dyDescent="0.25">
      <c r="A33" s="1">
        <v>45943</v>
      </c>
      <c r="B33" s="6">
        <v>390</v>
      </c>
      <c r="C33" s="2">
        <v>12</v>
      </c>
      <c r="D33" s="2">
        <v>20</v>
      </c>
      <c r="E33" s="2">
        <v>0</v>
      </c>
      <c r="F33" s="3">
        <v>0</v>
      </c>
      <c r="G33" s="2">
        <v>0</v>
      </c>
      <c r="H33" s="3">
        <v>385</v>
      </c>
      <c r="I33" s="2">
        <v>12</v>
      </c>
      <c r="J33" s="3">
        <v>5</v>
      </c>
      <c r="K33" s="2">
        <v>0</v>
      </c>
      <c r="L33" s="3">
        <v>0</v>
      </c>
      <c r="M33" s="2">
        <v>0</v>
      </c>
      <c r="N33" s="3">
        <v>385</v>
      </c>
      <c r="O33" s="2">
        <v>12</v>
      </c>
      <c r="P33" s="3">
        <v>5</v>
      </c>
      <c r="Q33" s="2">
        <v>0</v>
      </c>
      <c r="R33" s="3">
        <v>0</v>
      </c>
      <c r="S33" s="2">
        <v>0</v>
      </c>
      <c r="T33" s="8">
        <v>0</v>
      </c>
      <c r="U33" s="8">
        <v>0</v>
      </c>
      <c r="V33" s="8">
        <v>0</v>
      </c>
      <c r="W33" s="8">
        <v>0</v>
      </c>
      <c r="X33" s="8">
        <v>1</v>
      </c>
      <c r="Y33" s="8">
        <v>1</v>
      </c>
      <c r="Z33" s="8">
        <v>5</v>
      </c>
      <c r="AA33" s="8">
        <v>5</v>
      </c>
      <c r="AB33" s="7">
        <v>0</v>
      </c>
      <c r="AC33" s="7">
        <v>5</v>
      </c>
      <c r="AD33" s="7">
        <v>1</v>
      </c>
      <c r="AE33" s="7">
        <v>6</v>
      </c>
      <c r="AF33" s="7">
        <v>0</v>
      </c>
      <c r="AG33" s="7">
        <v>0</v>
      </c>
      <c r="AH33" s="7">
        <v>0</v>
      </c>
      <c r="AI33" s="3">
        <v>9</v>
      </c>
      <c r="AJ33" s="2">
        <v>0</v>
      </c>
      <c r="AK33" s="4"/>
      <c r="AL33" s="4"/>
      <c r="AM33" s="4">
        <v>0</v>
      </c>
      <c r="AN33" s="4">
        <v>9</v>
      </c>
      <c r="AO33" s="4"/>
      <c r="AP33" s="4">
        <v>3</v>
      </c>
      <c r="AQ33" s="5">
        <v>0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</row>
    <row r="34" spans="1:54" x14ac:dyDescent="0.25">
      <c r="A34" s="1">
        <v>45950</v>
      </c>
      <c r="B34" s="6">
        <v>399</v>
      </c>
      <c r="C34" s="2">
        <v>9</v>
      </c>
      <c r="D34" s="2">
        <v>0</v>
      </c>
      <c r="E34" s="2">
        <v>0.25</v>
      </c>
      <c r="F34" s="3">
        <v>0</v>
      </c>
      <c r="G34" s="2">
        <v>0</v>
      </c>
      <c r="H34" s="3">
        <v>394</v>
      </c>
      <c r="I34" s="2">
        <v>9</v>
      </c>
      <c r="J34" s="3">
        <v>5</v>
      </c>
      <c r="K34" s="2">
        <v>0</v>
      </c>
      <c r="L34" s="3">
        <v>0</v>
      </c>
      <c r="M34" s="2">
        <v>0</v>
      </c>
      <c r="N34" s="3">
        <v>394</v>
      </c>
      <c r="O34" s="2">
        <v>9</v>
      </c>
      <c r="P34" s="3">
        <v>5</v>
      </c>
      <c r="Q34" s="2">
        <v>0</v>
      </c>
      <c r="R34" s="3">
        <v>0</v>
      </c>
      <c r="S34" s="2">
        <v>0</v>
      </c>
      <c r="T34" s="8">
        <v>0</v>
      </c>
      <c r="U34" s="8">
        <v>0</v>
      </c>
      <c r="V34" s="8">
        <v>1</v>
      </c>
      <c r="W34" s="8">
        <v>0</v>
      </c>
      <c r="X34" s="8">
        <v>1</v>
      </c>
      <c r="Y34" s="8">
        <v>2</v>
      </c>
      <c r="Z34" s="8">
        <v>1</v>
      </c>
      <c r="AA34" s="8">
        <v>4</v>
      </c>
      <c r="AB34" s="7">
        <v>1</v>
      </c>
      <c r="AC34" s="7">
        <v>4</v>
      </c>
      <c r="AD34" s="7">
        <v>0</v>
      </c>
      <c r="AE34" s="7">
        <v>4</v>
      </c>
      <c r="AF34" s="7">
        <v>0</v>
      </c>
      <c r="AG34" s="7">
        <v>0</v>
      </c>
      <c r="AH34" s="7">
        <v>0</v>
      </c>
      <c r="AI34" s="3">
        <v>9</v>
      </c>
      <c r="AJ34" s="2">
        <v>0</v>
      </c>
      <c r="AK34" s="4"/>
      <c r="AL34" s="4"/>
      <c r="AM34" s="4">
        <v>0</v>
      </c>
      <c r="AN34" s="4">
        <v>5</v>
      </c>
      <c r="AO34" s="4"/>
      <c r="AP34" s="4">
        <v>4</v>
      </c>
      <c r="AQ34" s="5">
        <v>0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</row>
    <row r="35" spans="1:54" x14ac:dyDescent="0.25">
      <c r="A35" s="1">
        <v>45957</v>
      </c>
      <c r="B35" s="6">
        <v>413</v>
      </c>
      <c r="C35" s="2">
        <v>14</v>
      </c>
      <c r="D35" s="2">
        <v>55.55</v>
      </c>
      <c r="E35" s="2">
        <v>0</v>
      </c>
      <c r="F35" s="3">
        <v>0</v>
      </c>
      <c r="G35" s="2">
        <v>0</v>
      </c>
      <c r="H35" s="3">
        <v>408</v>
      </c>
      <c r="I35" s="2">
        <v>14</v>
      </c>
      <c r="J35" s="3">
        <v>5</v>
      </c>
      <c r="K35" s="2">
        <v>0</v>
      </c>
      <c r="L35" s="3">
        <v>0</v>
      </c>
      <c r="M35" s="2">
        <v>0</v>
      </c>
      <c r="N35" s="3">
        <v>408</v>
      </c>
      <c r="O35" s="2">
        <v>14</v>
      </c>
      <c r="P35" s="3">
        <v>5</v>
      </c>
      <c r="Q35" s="2">
        <v>0</v>
      </c>
      <c r="R35" s="3">
        <v>0</v>
      </c>
      <c r="S35" s="2">
        <v>0</v>
      </c>
      <c r="T35" s="8">
        <v>1</v>
      </c>
      <c r="U35" s="8">
        <v>1</v>
      </c>
      <c r="V35" s="8">
        <v>0</v>
      </c>
      <c r="W35" s="8">
        <v>0</v>
      </c>
      <c r="X35" s="8">
        <v>2</v>
      </c>
      <c r="Y35" s="8">
        <v>2</v>
      </c>
      <c r="Z35" s="8">
        <v>5</v>
      </c>
      <c r="AA35" s="8">
        <v>3</v>
      </c>
      <c r="AB35" s="7">
        <v>0</v>
      </c>
      <c r="AC35" s="7">
        <v>2</v>
      </c>
      <c r="AD35" s="7">
        <v>0</v>
      </c>
      <c r="AE35" s="7">
        <v>3</v>
      </c>
      <c r="AF35" s="7">
        <v>1</v>
      </c>
      <c r="AG35" s="7">
        <v>0</v>
      </c>
      <c r="AH35" s="7">
        <v>8</v>
      </c>
      <c r="AI35" s="3">
        <v>10</v>
      </c>
      <c r="AJ35" s="2">
        <v>1</v>
      </c>
      <c r="AK35" s="4"/>
      <c r="AL35" s="4"/>
      <c r="AM35" s="4">
        <v>0</v>
      </c>
      <c r="AN35" s="4">
        <v>6</v>
      </c>
      <c r="AO35" s="4"/>
      <c r="AP35" s="4">
        <v>8</v>
      </c>
      <c r="AQ35" s="5">
        <v>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</row>
    <row r="36" spans="1:54" x14ac:dyDescent="0.25">
      <c r="A36" s="1">
        <v>45964</v>
      </c>
      <c r="B36" s="6">
        <v>431</v>
      </c>
      <c r="C36" s="2">
        <v>18</v>
      </c>
      <c r="D36" s="2">
        <v>4.3499999999999996</v>
      </c>
      <c r="E36" s="2">
        <v>0</v>
      </c>
      <c r="F36" s="3">
        <v>0</v>
      </c>
      <c r="G36" s="2">
        <v>0</v>
      </c>
      <c r="H36" s="3">
        <v>423</v>
      </c>
      <c r="I36" s="2">
        <v>15</v>
      </c>
      <c r="J36" s="3">
        <v>8</v>
      </c>
      <c r="K36" s="2">
        <v>3</v>
      </c>
      <c r="L36" s="3">
        <v>0</v>
      </c>
      <c r="M36" s="2">
        <v>0</v>
      </c>
      <c r="N36" s="3">
        <v>423</v>
      </c>
      <c r="O36" s="2">
        <v>15</v>
      </c>
      <c r="P36" s="3">
        <v>8</v>
      </c>
      <c r="Q36" s="2">
        <v>3</v>
      </c>
      <c r="R36" s="3">
        <v>0</v>
      </c>
      <c r="S36" s="2">
        <v>0</v>
      </c>
      <c r="T36" s="8">
        <v>3</v>
      </c>
      <c r="U36" s="8">
        <v>1</v>
      </c>
      <c r="V36" s="8">
        <v>2</v>
      </c>
      <c r="W36" s="8">
        <v>0</v>
      </c>
      <c r="X36" s="8">
        <v>1</v>
      </c>
      <c r="Y36" s="8">
        <v>6</v>
      </c>
      <c r="Z36" s="8">
        <v>0</v>
      </c>
      <c r="AA36" s="8">
        <v>5</v>
      </c>
      <c r="AB36" s="7">
        <v>2</v>
      </c>
      <c r="AC36" s="7">
        <v>2</v>
      </c>
      <c r="AD36" s="7">
        <v>0</v>
      </c>
      <c r="AE36" s="7">
        <v>5</v>
      </c>
      <c r="AF36" s="7">
        <v>1</v>
      </c>
      <c r="AG36" s="7">
        <v>0</v>
      </c>
      <c r="AH36" s="7">
        <v>8</v>
      </c>
      <c r="AI36" s="3">
        <f>AI35+AJ36</f>
        <v>11</v>
      </c>
      <c r="AJ36" s="2">
        <v>1</v>
      </c>
      <c r="AK36" s="4"/>
      <c r="AL36" s="4"/>
      <c r="AM36" s="4">
        <v>0</v>
      </c>
      <c r="AN36" s="4">
        <v>11</v>
      </c>
      <c r="AO36" s="4"/>
      <c r="AP36" s="4">
        <v>7</v>
      </c>
      <c r="AQ36" s="5">
        <v>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</row>
    <row r="37" spans="1:54" x14ac:dyDescent="0.25">
      <c r="A37" s="1">
        <v>45971</v>
      </c>
      <c r="B37" s="6">
        <v>443</v>
      </c>
      <c r="C37" s="2">
        <v>12</v>
      </c>
      <c r="D37" s="2">
        <v>0</v>
      </c>
      <c r="E37" s="2">
        <v>33.33</v>
      </c>
      <c r="F37" s="3">
        <v>0</v>
      </c>
      <c r="G37" s="2">
        <v>0</v>
      </c>
      <c r="H37" s="3">
        <v>434</v>
      </c>
      <c r="I37" s="2">
        <v>11</v>
      </c>
      <c r="J37" s="3">
        <v>9</v>
      </c>
      <c r="K37" s="2">
        <v>1</v>
      </c>
      <c r="L37" s="3">
        <v>0</v>
      </c>
      <c r="M37" s="2">
        <v>0</v>
      </c>
      <c r="N37" s="3">
        <v>434</v>
      </c>
      <c r="O37" s="2">
        <v>11</v>
      </c>
      <c r="P37" s="3">
        <v>9</v>
      </c>
      <c r="Q37" s="2">
        <v>1</v>
      </c>
      <c r="R37" s="3">
        <v>0</v>
      </c>
      <c r="S37" s="2">
        <v>0</v>
      </c>
      <c r="T37" s="8">
        <v>2</v>
      </c>
      <c r="U37" s="8">
        <v>0</v>
      </c>
      <c r="V37" s="8">
        <v>4</v>
      </c>
      <c r="W37" s="8">
        <v>0</v>
      </c>
      <c r="X37" s="8">
        <v>2</v>
      </c>
      <c r="Y37" s="8">
        <v>3</v>
      </c>
      <c r="Z37" s="8">
        <v>0</v>
      </c>
      <c r="AA37" s="8">
        <v>1</v>
      </c>
      <c r="AB37" s="7">
        <v>3</v>
      </c>
      <c r="AC37" s="7">
        <v>2</v>
      </c>
      <c r="AD37" s="7">
        <v>2</v>
      </c>
      <c r="AE37" s="7">
        <v>1</v>
      </c>
      <c r="AF37" s="7">
        <v>0</v>
      </c>
      <c r="AG37" s="7">
        <v>0</v>
      </c>
      <c r="AH37" s="7">
        <v>4</v>
      </c>
      <c r="AI37" s="3">
        <v>11</v>
      </c>
      <c r="AJ37" s="2">
        <v>0</v>
      </c>
      <c r="AK37" s="4"/>
      <c r="AL37" s="4"/>
      <c r="AM37" s="4">
        <v>0</v>
      </c>
      <c r="AN37" s="4">
        <v>9</v>
      </c>
      <c r="AO37" s="4"/>
      <c r="AP37" s="4">
        <v>3</v>
      </c>
      <c r="AQ37" s="5">
        <v>0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spans="1:54" x14ac:dyDescent="0.25">
      <c r="A38" s="1">
        <v>45978</v>
      </c>
      <c r="B38" s="6">
        <v>460</v>
      </c>
      <c r="C38" s="2">
        <v>17</v>
      </c>
      <c r="D38" s="2">
        <v>0</v>
      </c>
      <c r="E38" s="2">
        <v>41.6</v>
      </c>
      <c r="F38" s="3">
        <v>0</v>
      </c>
      <c r="G38" s="2">
        <v>0</v>
      </c>
      <c r="H38" s="3">
        <v>451</v>
      </c>
      <c r="I38" s="2">
        <v>17</v>
      </c>
      <c r="J38" s="3">
        <v>9</v>
      </c>
      <c r="K38" s="2">
        <v>0</v>
      </c>
      <c r="L38" s="3">
        <v>0</v>
      </c>
      <c r="M38" s="2">
        <v>0</v>
      </c>
      <c r="N38" s="3">
        <v>451</v>
      </c>
      <c r="O38" s="2">
        <v>17</v>
      </c>
      <c r="P38" s="3">
        <v>9</v>
      </c>
      <c r="Q38" s="2">
        <v>0</v>
      </c>
      <c r="R38" s="3">
        <v>0</v>
      </c>
      <c r="S38" s="2">
        <v>0</v>
      </c>
      <c r="T38" s="8">
        <v>0</v>
      </c>
      <c r="U38" s="8">
        <v>2</v>
      </c>
      <c r="V38" s="8">
        <v>3</v>
      </c>
      <c r="W38" s="8">
        <v>2</v>
      </c>
      <c r="X38" s="8">
        <v>5</v>
      </c>
      <c r="Y38" s="8">
        <v>2</v>
      </c>
      <c r="Z38" s="8">
        <v>1</v>
      </c>
      <c r="AA38" s="8">
        <v>2</v>
      </c>
      <c r="AB38" s="7">
        <v>5</v>
      </c>
      <c r="AC38" s="7">
        <v>3</v>
      </c>
      <c r="AD38" s="7">
        <v>1</v>
      </c>
      <c r="AE38" s="7">
        <v>6</v>
      </c>
      <c r="AF38" s="7">
        <v>1</v>
      </c>
      <c r="AG38" s="7">
        <v>0</v>
      </c>
      <c r="AH38" s="7">
        <v>1</v>
      </c>
      <c r="AI38" s="3">
        <f>AI37+AJ38</f>
        <v>12</v>
      </c>
      <c r="AJ38" s="2">
        <v>1</v>
      </c>
      <c r="AK38" s="4"/>
      <c r="AL38" s="4"/>
      <c r="AM38" s="4">
        <v>0</v>
      </c>
      <c r="AN38" s="4">
        <v>10</v>
      </c>
      <c r="AO38" s="4"/>
      <c r="AP38" s="4">
        <v>7</v>
      </c>
      <c r="AQ38" s="5">
        <v>0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spans="1:54" x14ac:dyDescent="0.25">
      <c r="A39" s="1">
        <v>45985</v>
      </c>
      <c r="B39" s="6">
        <v>481</v>
      </c>
      <c r="C39" s="2">
        <v>21</v>
      </c>
      <c r="D39" s="2">
        <v>23.52</v>
      </c>
      <c r="E39" s="2">
        <v>0</v>
      </c>
      <c r="F39" s="3">
        <v>0</v>
      </c>
      <c r="G39" s="2">
        <v>0</v>
      </c>
      <c r="H39" s="3">
        <v>472</v>
      </c>
      <c r="I39" s="2">
        <v>21</v>
      </c>
      <c r="J39" s="3">
        <v>9</v>
      </c>
      <c r="K39" s="2">
        <v>0</v>
      </c>
      <c r="L39" s="3">
        <v>0</v>
      </c>
      <c r="M39" s="2">
        <v>0</v>
      </c>
      <c r="N39" s="3">
        <v>472</v>
      </c>
      <c r="O39" s="2">
        <v>21</v>
      </c>
      <c r="P39" s="3">
        <v>9</v>
      </c>
      <c r="Q39" s="2">
        <v>0</v>
      </c>
      <c r="R39" s="3">
        <v>0</v>
      </c>
      <c r="S39" s="2">
        <v>0</v>
      </c>
      <c r="T39" s="8">
        <v>2</v>
      </c>
      <c r="U39" s="8">
        <v>0</v>
      </c>
      <c r="V39" s="8">
        <v>3</v>
      </c>
      <c r="W39" s="8">
        <v>1</v>
      </c>
      <c r="X39" s="8">
        <v>0</v>
      </c>
      <c r="Y39" s="8">
        <v>5</v>
      </c>
      <c r="Z39" s="8">
        <v>5</v>
      </c>
      <c r="AA39" s="8">
        <v>5</v>
      </c>
      <c r="AB39" s="7">
        <v>5</v>
      </c>
      <c r="AC39" s="7">
        <v>2</v>
      </c>
      <c r="AD39" s="7">
        <v>1</v>
      </c>
      <c r="AE39" s="7">
        <v>7</v>
      </c>
      <c r="AF39" s="7">
        <v>0</v>
      </c>
      <c r="AG39" s="7">
        <v>0</v>
      </c>
      <c r="AH39" s="7">
        <v>6</v>
      </c>
      <c r="AI39" s="3">
        <v>12</v>
      </c>
      <c r="AJ39" s="2">
        <v>0</v>
      </c>
      <c r="AK39" s="4"/>
      <c r="AL39" s="4"/>
      <c r="AM39" s="4">
        <v>0</v>
      </c>
      <c r="AN39" s="4">
        <v>15</v>
      </c>
      <c r="AO39" s="4"/>
      <c r="AP39" s="4">
        <v>6</v>
      </c>
      <c r="AQ39" s="5">
        <v>0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spans="1:54" x14ac:dyDescent="0.25">
      <c r="A40" s="1">
        <v>45992</v>
      </c>
      <c r="B40" s="6">
        <f>B39+C40</f>
        <v>503</v>
      </c>
      <c r="C40" s="2">
        <v>22</v>
      </c>
      <c r="D40" s="9">
        <f>C40*100/C39-100</f>
        <v>4.7619047619047592</v>
      </c>
      <c r="E40" s="2">
        <v>0</v>
      </c>
      <c r="F40" s="3">
        <v>0</v>
      </c>
      <c r="G40" s="2">
        <v>0</v>
      </c>
      <c r="H40" s="3">
        <f>H39+I40</f>
        <v>494</v>
      </c>
      <c r="I40" s="2">
        <v>22</v>
      </c>
      <c r="J40" s="3">
        <v>9</v>
      </c>
      <c r="K40" s="2">
        <v>0</v>
      </c>
      <c r="L40" s="3">
        <v>0</v>
      </c>
      <c r="M40" s="2">
        <v>0</v>
      </c>
      <c r="N40" s="3">
        <f>N39+O40</f>
        <v>494</v>
      </c>
      <c r="O40" s="2">
        <v>22</v>
      </c>
      <c r="P40" s="3">
        <v>9</v>
      </c>
      <c r="Q40" s="2">
        <v>0</v>
      </c>
      <c r="R40" s="3">
        <v>0</v>
      </c>
      <c r="S40" s="2">
        <v>0</v>
      </c>
      <c r="T40" s="8">
        <v>0</v>
      </c>
      <c r="U40" s="8">
        <v>0</v>
      </c>
      <c r="V40" s="8">
        <v>5</v>
      </c>
      <c r="W40" s="8">
        <v>0</v>
      </c>
      <c r="X40" s="8">
        <v>4</v>
      </c>
      <c r="Y40" s="8">
        <v>3</v>
      </c>
      <c r="Z40" s="8">
        <v>7</v>
      </c>
      <c r="AA40" s="8">
        <v>3</v>
      </c>
      <c r="AB40" s="7">
        <v>5</v>
      </c>
      <c r="AC40" s="7">
        <v>8</v>
      </c>
      <c r="AD40" s="7">
        <v>1</v>
      </c>
      <c r="AE40" s="7">
        <v>3</v>
      </c>
      <c r="AF40" s="7">
        <v>0</v>
      </c>
      <c r="AG40" s="7">
        <v>1</v>
      </c>
      <c r="AH40" s="7">
        <v>4</v>
      </c>
      <c r="AI40" s="3">
        <v>12</v>
      </c>
      <c r="AJ40" s="2">
        <v>0</v>
      </c>
      <c r="AK40" s="4"/>
      <c r="AL40" s="4"/>
      <c r="AM40" s="4">
        <v>0</v>
      </c>
      <c r="AN40" s="4">
        <v>14</v>
      </c>
      <c r="AO40" s="4"/>
      <c r="AP40" s="4">
        <v>8</v>
      </c>
      <c r="AQ40" s="5">
        <v>0</v>
      </c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spans="1:54" x14ac:dyDescent="0.25">
      <c r="A41" s="1">
        <v>45999</v>
      </c>
      <c r="B41" s="6">
        <f>B40+C41</f>
        <v>537</v>
      </c>
      <c r="C41" s="2">
        <v>34</v>
      </c>
      <c r="D41" s="9">
        <f>C41*100/C40-100</f>
        <v>54.545454545454533</v>
      </c>
      <c r="E41" s="2">
        <v>0</v>
      </c>
      <c r="F41" s="3">
        <v>0</v>
      </c>
      <c r="G41" s="2">
        <v>0</v>
      </c>
      <c r="H41" s="3">
        <f>H40+I41</f>
        <v>528</v>
      </c>
      <c r="I41" s="2">
        <v>34</v>
      </c>
      <c r="J41" s="3">
        <v>9</v>
      </c>
      <c r="K41" s="2">
        <v>0</v>
      </c>
      <c r="L41" s="3">
        <v>0</v>
      </c>
      <c r="M41" s="2">
        <v>0</v>
      </c>
      <c r="N41" s="3">
        <f>N40+O41</f>
        <v>528</v>
      </c>
      <c r="O41" s="2">
        <v>34</v>
      </c>
      <c r="P41" s="3">
        <v>9</v>
      </c>
      <c r="Q41" s="2">
        <v>0</v>
      </c>
      <c r="R41" s="3">
        <v>0</v>
      </c>
      <c r="S41" s="2">
        <v>0</v>
      </c>
      <c r="T41" s="8">
        <v>1</v>
      </c>
      <c r="U41" s="8">
        <v>4</v>
      </c>
      <c r="V41" s="8">
        <v>6</v>
      </c>
      <c r="W41" s="8">
        <v>2</v>
      </c>
      <c r="X41" s="8">
        <v>5</v>
      </c>
      <c r="Y41" s="8">
        <v>7</v>
      </c>
      <c r="Z41" s="8">
        <v>6</v>
      </c>
      <c r="AA41" s="8">
        <v>3</v>
      </c>
      <c r="AB41" s="7">
        <v>10</v>
      </c>
      <c r="AC41" s="7">
        <v>4</v>
      </c>
      <c r="AD41" s="7">
        <v>3</v>
      </c>
      <c r="AE41" s="7">
        <v>4</v>
      </c>
      <c r="AF41" s="7">
        <v>2</v>
      </c>
      <c r="AG41" s="7">
        <v>0</v>
      </c>
      <c r="AH41" s="7">
        <v>11</v>
      </c>
      <c r="AI41" s="3">
        <f>AI40+AJ41</f>
        <v>14</v>
      </c>
      <c r="AJ41" s="2">
        <v>2</v>
      </c>
      <c r="AK41" s="4"/>
      <c r="AL41" s="4"/>
      <c r="AM41" s="4">
        <v>0</v>
      </c>
      <c r="AN41" s="4">
        <v>20</v>
      </c>
      <c r="AO41" s="4"/>
      <c r="AP41" s="4">
        <v>14</v>
      </c>
      <c r="AQ41" s="5">
        <v>0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spans="1:54" x14ac:dyDescent="0.25">
      <c r="A42" s="1">
        <v>46006</v>
      </c>
      <c r="B42" s="6">
        <f>B41+C42</f>
        <v>568</v>
      </c>
      <c r="C42" s="2">
        <v>31</v>
      </c>
      <c r="D42" s="9">
        <f>C42*100/C41-100</f>
        <v>-8.8235294117647101</v>
      </c>
      <c r="E42" s="2">
        <v>0</v>
      </c>
      <c r="F42" s="3">
        <v>0</v>
      </c>
      <c r="G42" s="2">
        <v>0</v>
      </c>
      <c r="H42" s="3">
        <f>H41+I42</f>
        <v>559</v>
      </c>
      <c r="I42" s="2">
        <v>31</v>
      </c>
      <c r="J42" s="3">
        <v>9</v>
      </c>
      <c r="K42" s="2">
        <v>0</v>
      </c>
      <c r="L42" s="3">
        <v>0</v>
      </c>
      <c r="M42" s="2">
        <v>0</v>
      </c>
      <c r="N42" s="3">
        <f>N41+O42</f>
        <v>559</v>
      </c>
      <c r="O42" s="2">
        <v>31</v>
      </c>
      <c r="P42" s="3">
        <v>9</v>
      </c>
      <c r="Q42" s="2">
        <v>0</v>
      </c>
      <c r="R42" s="3">
        <v>0</v>
      </c>
      <c r="S42" s="2">
        <v>0</v>
      </c>
      <c r="T42" s="8">
        <v>4</v>
      </c>
      <c r="U42" s="8">
        <v>4</v>
      </c>
      <c r="V42" s="8">
        <v>8</v>
      </c>
      <c r="W42" s="8">
        <v>1</v>
      </c>
      <c r="X42" s="8">
        <v>5</v>
      </c>
      <c r="Y42" s="8">
        <v>4</v>
      </c>
      <c r="Z42" s="8">
        <v>1</v>
      </c>
      <c r="AA42" s="8">
        <v>4</v>
      </c>
      <c r="AB42" s="7">
        <v>10</v>
      </c>
      <c r="AC42" s="7">
        <v>4</v>
      </c>
      <c r="AD42" s="7">
        <v>4</v>
      </c>
      <c r="AE42" s="7">
        <v>4</v>
      </c>
      <c r="AF42" s="7">
        <v>0</v>
      </c>
      <c r="AG42" s="7">
        <v>0</v>
      </c>
      <c r="AH42" s="7">
        <v>9</v>
      </c>
      <c r="AI42" s="3">
        <f>AI41+AJ42</f>
        <v>14</v>
      </c>
      <c r="AJ42" s="2">
        <v>0</v>
      </c>
      <c r="AK42" s="4"/>
      <c r="AL42" s="4"/>
      <c r="AM42" s="4">
        <v>0</v>
      </c>
      <c r="AN42" s="4">
        <v>21</v>
      </c>
      <c r="AO42" s="4"/>
      <c r="AP42" s="4">
        <v>10</v>
      </c>
      <c r="AQ42" s="5">
        <v>0</v>
      </c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spans="1:54" x14ac:dyDescent="0.25">
      <c r="A43" s="1">
        <v>46013</v>
      </c>
      <c r="B43" s="6">
        <f>B42+C43</f>
        <v>605</v>
      </c>
      <c r="C43" s="2">
        <v>37</v>
      </c>
      <c r="D43" s="9">
        <f>C43*100/C42-100</f>
        <v>19.354838709677423</v>
      </c>
      <c r="E43" s="2">
        <v>0</v>
      </c>
      <c r="F43" s="3">
        <v>0</v>
      </c>
      <c r="G43" s="2">
        <v>0</v>
      </c>
      <c r="H43" s="3">
        <f>H42+I43</f>
        <v>593</v>
      </c>
      <c r="I43" s="2">
        <v>34</v>
      </c>
      <c r="J43" s="3">
        <v>12</v>
      </c>
      <c r="K43" s="2">
        <v>3</v>
      </c>
      <c r="L43" s="3">
        <v>0</v>
      </c>
      <c r="M43" s="2">
        <v>0</v>
      </c>
      <c r="N43" s="3">
        <f>N42+O43</f>
        <v>593</v>
      </c>
      <c r="O43" s="2">
        <v>34</v>
      </c>
      <c r="P43" s="3">
        <v>12</v>
      </c>
      <c r="Q43" s="2">
        <v>3</v>
      </c>
      <c r="R43" s="3">
        <v>0</v>
      </c>
      <c r="S43" s="2">
        <v>0</v>
      </c>
      <c r="T43" s="8">
        <v>4</v>
      </c>
      <c r="U43" s="8">
        <v>5</v>
      </c>
      <c r="V43" s="8">
        <v>6</v>
      </c>
      <c r="W43" s="8">
        <v>1</v>
      </c>
      <c r="X43" s="8">
        <v>7</v>
      </c>
      <c r="Y43" s="8">
        <v>4</v>
      </c>
      <c r="Z43" s="8">
        <v>3</v>
      </c>
      <c r="AA43" s="8">
        <v>7</v>
      </c>
      <c r="AB43" s="7">
        <v>11</v>
      </c>
      <c r="AC43" s="7">
        <v>3</v>
      </c>
      <c r="AD43" s="7">
        <v>1</v>
      </c>
      <c r="AE43" s="7">
        <v>8</v>
      </c>
      <c r="AF43" s="7">
        <v>1</v>
      </c>
      <c r="AG43" s="7">
        <v>0</v>
      </c>
      <c r="AH43" s="7">
        <v>13</v>
      </c>
      <c r="AI43" s="3">
        <f>AI42+AJ43</f>
        <v>15</v>
      </c>
      <c r="AJ43" s="2">
        <v>1</v>
      </c>
      <c r="AK43" s="4"/>
      <c r="AL43" s="4"/>
      <c r="AM43" s="4">
        <v>0</v>
      </c>
      <c r="AN43" s="4">
        <v>24</v>
      </c>
      <c r="AO43" s="4"/>
      <c r="AP43" s="4">
        <v>13</v>
      </c>
      <c r="AQ43" s="5">
        <v>0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</sheetData>
  <mergeCells count="75">
    <mergeCell ref="A1:A5"/>
    <mergeCell ref="B1:C2"/>
    <mergeCell ref="D1:E2"/>
    <mergeCell ref="F1:K2"/>
    <mergeCell ref="L1:S1"/>
    <mergeCell ref="H3:I3"/>
    <mergeCell ref="B3:B5"/>
    <mergeCell ref="C3:C5"/>
    <mergeCell ref="D3:D5"/>
    <mergeCell ref="E3:E5"/>
    <mergeCell ref="F3:G3"/>
    <mergeCell ref="K4:K5"/>
    <mergeCell ref="L4:L5"/>
    <mergeCell ref="M4:M5"/>
    <mergeCell ref="F4:F5"/>
    <mergeCell ref="G4:G5"/>
    <mergeCell ref="AB1:AH1"/>
    <mergeCell ref="AI1:AJ1"/>
    <mergeCell ref="AK1:AP1"/>
    <mergeCell ref="AQ1:BB1"/>
    <mergeCell ref="L2:M2"/>
    <mergeCell ref="N2:S2"/>
    <mergeCell ref="T2:T5"/>
    <mergeCell ref="U2:U5"/>
    <mergeCell ref="V2:V5"/>
    <mergeCell ref="W2:W5"/>
    <mergeCell ref="T1:AA1"/>
    <mergeCell ref="X2:X5"/>
    <mergeCell ref="Y2:Y5"/>
    <mergeCell ref="Z2:Z5"/>
    <mergeCell ref="AA2:AA5"/>
    <mergeCell ref="AN3:AN5"/>
    <mergeCell ref="AL2:AO2"/>
    <mergeCell ref="AO3:AO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3:AL5"/>
    <mergeCell ref="R3:S3"/>
    <mergeCell ref="H4:H5"/>
    <mergeCell ref="I4:I5"/>
    <mergeCell ref="J4:J5"/>
    <mergeCell ref="R4:R5"/>
    <mergeCell ref="S4:S5"/>
    <mergeCell ref="N4:N5"/>
    <mergeCell ref="O4:O5"/>
    <mergeCell ref="P4:P5"/>
    <mergeCell ref="Q4:Q5"/>
    <mergeCell ref="J3:K3"/>
    <mergeCell ref="L3:M3"/>
    <mergeCell ref="N3:O3"/>
    <mergeCell ref="P3:Q3"/>
    <mergeCell ref="AP2:AP5"/>
    <mergeCell ref="AM3:AM5"/>
    <mergeCell ref="BA4:BA5"/>
    <mergeCell ref="BB4:BB5"/>
    <mergeCell ref="AY3:AY5"/>
    <mergeCell ref="AZ3:AZ5"/>
    <mergeCell ref="AU3:AU5"/>
    <mergeCell ref="AV3:AV5"/>
    <mergeCell ref="AW3:AW5"/>
    <mergeCell ref="AX3:AX5"/>
    <mergeCell ref="BA2:BB3"/>
    <mergeCell ref="AS3:AS5"/>
    <mergeCell ref="AT3:AT5"/>
    <mergeCell ref="AQ2:AQ5"/>
    <mergeCell ref="AR2:AR5"/>
    <mergeCell ref="AS2:AZ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76" r:id="rId4" name="Control 52">
          <controlPr defaultSize="0" autoPict="0" r:id="rId5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76" r:id="rId4" name="Control 52"/>
      </mc:Fallback>
    </mc:AlternateContent>
    <mc:AlternateContent xmlns:mc="http://schemas.openxmlformats.org/markup-compatibility/2006">
      <mc:Choice Requires="x14">
        <control shapeId="1075" r:id="rId6" name="Control 51">
          <controlPr defaultSize="0" autoPict="0" r:id="rId7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75" r:id="rId6" name="Control 51"/>
      </mc:Fallback>
    </mc:AlternateContent>
    <mc:AlternateContent xmlns:mc="http://schemas.openxmlformats.org/markup-compatibility/2006">
      <mc:Choice Requires="x14">
        <control shapeId="1074" r:id="rId8" name="Control 50">
          <controlPr defaultSize="0" autoPict="0" r:id="rId9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74" r:id="rId8" name="Control 50"/>
      </mc:Fallback>
    </mc:AlternateContent>
    <mc:AlternateContent xmlns:mc="http://schemas.openxmlformats.org/markup-compatibility/2006">
      <mc:Choice Requires="x14">
        <control shapeId="1073" r:id="rId10" name="Control 49">
          <controlPr defaultSize="0" autoPict="0" r:id="rId11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73" r:id="rId10" name="Control 49"/>
      </mc:Fallback>
    </mc:AlternateContent>
    <mc:AlternateContent xmlns:mc="http://schemas.openxmlformats.org/markup-compatibility/2006">
      <mc:Choice Requires="x14">
        <control shapeId="1072" r:id="rId12" name="Control 48">
          <controlPr defaultSize="0" autoPict="0" r:id="rId13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72" r:id="rId12" name="Control 48"/>
      </mc:Fallback>
    </mc:AlternateContent>
    <mc:AlternateContent xmlns:mc="http://schemas.openxmlformats.org/markup-compatibility/2006">
      <mc:Choice Requires="x14">
        <control shapeId="1071" r:id="rId14" name="Control 47">
          <controlPr defaultSize="0" autoPict="0" r:id="rId15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71" r:id="rId14" name="Control 47"/>
      </mc:Fallback>
    </mc:AlternateContent>
    <mc:AlternateContent xmlns:mc="http://schemas.openxmlformats.org/markup-compatibility/2006">
      <mc:Choice Requires="x14">
        <control shapeId="1070" r:id="rId16" name="Control 46">
          <controlPr defaultSize="0" autoPict="0" r:id="rId17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70" r:id="rId16" name="Control 46"/>
      </mc:Fallback>
    </mc:AlternateContent>
    <mc:AlternateContent xmlns:mc="http://schemas.openxmlformats.org/markup-compatibility/2006">
      <mc:Choice Requires="x14">
        <control shapeId="1069" r:id="rId18" name="Control 45">
          <controlPr defaultSize="0" autoPict="0" r:id="rId19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69" r:id="rId18" name="Control 45"/>
      </mc:Fallback>
    </mc:AlternateContent>
    <mc:AlternateContent xmlns:mc="http://schemas.openxmlformats.org/markup-compatibility/2006">
      <mc:Choice Requires="x14">
        <control shapeId="1068" r:id="rId20" name="Control 44">
          <controlPr defaultSize="0" autoPict="0" r:id="rId21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68" r:id="rId20" name="Control 44"/>
      </mc:Fallback>
    </mc:AlternateContent>
    <mc:AlternateContent xmlns:mc="http://schemas.openxmlformats.org/markup-compatibility/2006">
      <mc:Choice Requires="x14">
        <control shapeId="1067" r:id="rId22" name="Control 43">
          <controlPr defaultSize="0" autoPict="0" r:id="rId23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67" r:id="rId22" name="Control 43"/>
      </mc:Fallback>
    </mc:AlternateContent>
    <mc:AlternateContent xmlns:mc="http://schemas.openxmlformats.org/markup-compatibility/2006">
      <mc:Choice Requires="x14">
        <control shapeId="1066" r:id="rId24" name="Control 42">
          <controlPr defaultSize="0" autoPict="0" r:id="rId25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66" r:id="rId24" name="Control 42"/>
      </mc:Fallback>
    </mc:AlternateContent>
    <mc:AlternateContent xmlns:mc="http://schemas.openxmlformats.org/markup-compatibility/2006">
      <mc:Choice Requires="x14">
        <control shapeId="1065" r:id="rId26" name="Control 41">
          <controlPr defaultSize="0" autoPict="0" r:id="rId27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65" r:id="rId26" name="Control 41"/>
      </mc:Fallback>
    </mc:AlternateContent>
    <mc:AlternateContent xmlns:mc="http://schemas.openxmlformats.org/markup-compatibility/2006">
      <mc:Choice Requires="x14">
        <control shapeId="1064" r:id="rId28" name="Control 40">
          <controlPr defaultSize="0" autoPict="0" r:id="rId29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64" r:id="rId28" name="Control 40"/>
      </mc:Fallback>
    </mc:AlternateContent>
    <mc:AlternateContent xmlns:mc="http://schemas.openxmlformats.org/markup-compatibility/2006">
      <mc:Choice Requires="x14">
        <control shapeId="1063" r:id="rId30" name="Control 39">
          <controlPr defaultSize="0" autoPict="0" r:id="rId31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63" r:id="rId30" name="Control 39"/>
      </mc:Fallback>
    </mc:AlternateContent>
    <mc:AlternateContent xmlns:mc="http://schemas.openxmlformats.org/markup-compatibility/2006">
      <mc:Choice Requires="x14">
        <control shapeId="1062" r:id="rId32" name="Control 38">
          <controlPr defaultSize="0" autoPict="0" r:id="rId33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62" r:id="rId32" name="Control 38"/>
      </mc:Fallback>
    </mc:AlternateContent>
    <mc:AlternateContent xmlns:mc="http://schemas.openxmlformats.org/markup-compatibility/2006">
      <mc:Choice Requires="x14">
        <control shapeId="1061" r:id="rId34" name="Control 37">
          <controlPr defaultSize="0" autoPict="0" r:id="rId35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61" r:id="rId34" name="Control 37"/>
      </mc:Fallback>
    </mc:AlternateContent>
    <mc:AlternateContent xmlns:mc="http://schemas.openxmlformats.org/markup-compatibility/2006">
      <mc:Choice Requires="x14">
        <control shapeId="1060" r:id="rId36" name="Control 36">
          <controlPr defaultSize="0" autoPict="0" r:id="rId37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60" r:id="rId36" name="Control 36"/>
      </mc:Fallback>
    </mc:AlternateContent>
    <mc:AlternateContent xmlns:mc="http://schemas.openxmlformats.org/markup-compatibility/2006">
      <mc:Choice Requires="x14">
        <control shapeId="1059" r:id="rId38" name="Control 35">
          <controlPr defaultSize="0" autoPict="0" r:id="rId39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59" r:id="rId38" name="Control 35"/>
      </mc:Fallback>
    </mc:AlternateContent>
    <mc:AlternateContent xmlns:mc="http://schemas.openxmlformats.org/markup-compatibility/2006">
      <mc:Choice Requires="x14">
        <control shapeId="1058" r:id="rId40" name="Control 34">
          <controlPr defaultSize="0" autoPict="0" r:id="rId41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58" r:id="rId40" name="Control 34"/>
      </mc:Fallback>
    </mc:AlternateContent>
    <mc:AlternateContent xmlns:mc="http://schemas.openxmlformats.org/markup-compatibility/2006">
      <mc:Choice Requires="x14">
        <control shapeId="1057" r:id="rId42" name="Control 33">
          <controlPr defaultSize="0" autoPict="0" r:id="rId43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57" r:id="rId42" name="Control 33"/>
      </mc:Fallback>
    </mc:AlternateContent>
    <mc:AlternateContent xmlns:mc="http://schemas.openxmlformats.org/markup-compatibility/2006">
      <mc:Choice Requires="x14">
        <control shapeId="1056" r:id="rId44" name="Control 32">
          <controlPr defaultSize="0" autoPict="0" r:id="rId45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56" r:id="rId44" name="Control 32"/>
      </mc:Fallback>
    </mc:AlternateContent>
    <mc:AlternateContent xmlns:mc="http://schemas.openxmlformats.org/markup-compatibility/2006">
      <mc:Choice Requires="x14">
        <control shapeId="1055" r:id="rId46" name="Control 31">
          <controlPr defaultSize="0" autoPict="0" r:id="rId47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55" r:id="rId46" name="Control 31"/>
      </mc:Fallback>
    </mc:AlternateContent>
    <mc:AlternateContent xmlns:mc="http://schemas.openxmlformats.org/markup-compatibility/2006">
      <mc:Choice Requires="x14">
        <control shapeId="1054" r:id="rId48" name="Control 30">
          <controlPr defaultSize="0" autoPict="0" r:id="rId49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54" r:id="rId48" name="Control 30"/>
      </mc:Fallback>
    </mc:AlternateContent>
    <mc:AlternateContent xmlns:mc="http://schemas.openxmlformats.org/markup-compatibility/2006">
      <mc:Choice Requires="x14">
        <control shapeId="1053" r:id="rId50" name="Control 29">
          <controlPr defaultSize="0" autoPict="0" r:id="rId51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53" r:id="rId50" name="Control 29"/>
      </mc:Fallback>
    </mc:AlternateContent>
    <mc:AlternateContent xmlns:mc="http://schemas.openxmlformats.org/markup-compatibility/2006">
      <mc:Choice Requires="x14">
        <control shapeId="1052" r:id="rId52" name="Control 28">
          <controlPr defaultSize="0" autoPict="0" r:id="rId53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52" r:id="rId52" name="Control 28"/>
      </mc:Fallback>
    </mc:AlternateContent>
    <mc:AlternateContent xmlns:mc="http://schemas.openxmlformats.org/markup-compatibility/2006">
      <mc:Choice Requires="x14">
        <control shapeId="1051" r:id="rId54" name="Control 27">
          <controlPr defaultSize="0" autoPict="0" r:id="rId55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51" r:id="rId54" name="Control 27"/>
      </mc:Fallback>
    </mc:AlternateContent>
    <mc:AlternateContent xmlns:mc="http://schemas.openxmlformats.org/markup-compatibility/2006">
      <mc:Choice Requires="x14">
        <control shapeId="1050" r:id="rId56" name="Control 26">
          <controlPr defaultSize="0" autoPict="0" r:id="rId57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50" r:id="rId56" name="Control 26"/>
      </mc:Fallback>
    </mc:AlternateContent>
    <mc:AlternateContent xmlns:mc="http://schemas.openxmlformats.org/markup-compatibility/2006">
      <mc:Choice Requires="x14">
        <control shapeId="1049" r:id="rId58" name="Control 25">
          <controlPr defaultSize="0" autoPict="0" r:id="rId59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49" r:id="rId58" name="Control 25"/>
      </mc:Fallback>
    </mc:AlternateContent>
    <mc:AlternateContent xmlns:mc="http://schemas.openxmlformats.org/markup-compatibility/2006">
      <mc:Choice Requires="x14">
        <control shapeId="1048" r:id="rId60" name="Control 24">
          <controlPr defaultSize="0" autoPict="0" r:id="rId61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48" r:id="rId60" name="Control 24"/>
      </mc:Fallback>
    </mc:AlternateContent>
    <mc:AlternateContent xmlns:mc="http://schemas.openxmlformats.org/markup-compatibility/2006">
      <mc:Choice Requires="x14">
        <control shapeId="1047" r:id="rId62" name="Control 23">
          <controlPr defaultSize="0" autoPict="0" r:id="rId63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47" r:id="rId62" name="Control 23"/>
      </mc:Fallback>
    </mc:AlternateContent>
    <mc:AlternateContent xmlns:mc="http://schemas.openxmlformats.org/markup-compatibility/2006">
      <mc:Choice Requires="x14">
        <control shapeId="1046" r:id="rId64" name="Control 22">
          <controlPr defaultSize="0" autoPict="0" r:id="rId65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46" r:id="rId64" name="Control 22"/>
      </mc:Fallback>
    </mc:AlternateContent>
    <mc:AlternateContent xmlns:mc="http://schemas.openxmlformats.org/markup-compatibility/2006">
      <mc:Choice Requires="x14">
        <control shapeId="1045" r:id="rId66" name="Control 21">
          <controlPr defaultSize="0" autoPict="0" r:id="rId67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45" r:id="rId66" name="Control 21"/>
      </mc:Fallback>
    </mc:AlternateContent>
    <mc:AlternateContent xmlns:mc="http://schemas.openxmlformats.org/markup-compatibility/2006">
      <mc:Choice Requires="x14">
        <control shapeId="1044" r:id="rId68" name="Control 20">
          <controlPr defaultSize="0" autoPict="0" r:id="rId69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44" r:id="rId68" name="Control 20"/>
      </mc:Fallback>
    </mc:AlternateContent>
    <mc:AlternateContent xmlns:mc="http://schemas.openxmlformats.org/markup-compatibility/2006">
      <mc:Choice Requires="x14">
        <control shapeId="1043" r:id="rId70" name="Control 19">
          <controlPr defaultSize="0" autoPict="0" r:id="rId71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43" r:id="rId70" name="Control 19"/>
      </mc:Fallback>
    </mc:AlternateContent>
    <mc:AlternateContent xmlns:mc="http://schemas.openxmlformats.org/markup-compatibility/2006">
      <mc:Choice Requires="x14">
        <control shapeId="1042" r:id="rId72" name="Control 18">
          <controlPr defaultSize="0" autoPict="0" r:id="rId73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42" r:id="rId72" name="Control 18"/>
      </mc:Fallback>
    </mc:AlternateContent>
    <mc:AlternateContent xmlns:mc="http://schemas.openxmlformats.org/markup-compatibility/2006">
      <mc:Choice Requires="x14">
        <control shapeId="1041" r:id="rId74" name="Control 17">
          <controlPr defaultSize="0" autoPict="0" r:id="rId75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41" r:id="rId74" name="Control 17"/>
      </mc:Fallback>
    </mc:AlternateContent>
    <mc:AlternateContent xmlns:mc="http://schemas.openxmlformats.org/markup-compatibility/2006">
      <mc:Choice Requires="x14">
        <control shapeId="1040" r:id="rId76" name="Control 16">
          <controlPr defaultSize="0" autoPict="0" r:id="rId77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40" r:id="rId76" name="Control 16"/>
      </mc:Fallback>
    </mc:AlternateContent>
    <mc:AlternateContent xmlns:mc="http://schemas.openxmlformats.org/markup-compatibility/2006">
      <mc:Choice Requires="x14">
        <control shapeId="1039" r:id="rId78" name="Control 15">
          <controlPr defaultSize="0" autoPict="0" r:id="rId79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39" r:id="rId78" name="Control 15"/>
      </mc:Fallback>
    </mc:AlternateContent>
    <mc:AlternateContent xmlns:mc="http://schemas.openxmlformats.org/markup-compatibility/2006">
      <mc:Choice Requires="x14">
        <control shapeId="1038" r:id="rId80" name="Control 14">
          <controlPr defaultSize="0" autoPict="0" r:id="rId81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38" r:id="rId80" name="Control 14"/>
      </mc:Fallback>
    </mc:AlternateContent>
    <mc:AlternateContent xmlns:mc="http://schemas.openxmlformats.org/markup-compatibility/2006">
      <mc:Choice Requires="x14">
        <control shapeId="1037" r:id="rId82" name="Control 13">
          <controlPr defaultSize="0" autoPict="0" r:id="rId83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37" r:id="rId82" name="Control 13"/>
      </mc:Fallback>
    </mc:AlternateContent>
    <mc:AlternateContent xmlns:mc="http://schemas.openxmlformats.org/markup-compatibility/2006">
      <mc:Choice Requires="x14">
        <control shapeId="1036" r:id="rId84" name="Control 12">
          <controlPr defaultSize="0" autoPict="0" r:id="rId85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36" r:id="rId84" name="Control 12"/>
      </mc:Fallback>
    </mc:AlternateContent>
    <mc:AlternateContent xmlns:mc="http://schemas.openxmlformats.org/markup-compatibility/2006">
      <mc:Choice Requires="x14">
        <control shapeId="1035" r:id="rId86" name="Control 11">
          <controlPr defaultSize="0" autoPict="0" r:id="rId87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35" r:id="rId86" name="Control 11"/>
      </mc:Fallback>
    </mc:AlternateContent>
    <mc:AlternateContent xmlns:mc="http://schemas.openxmlformats.org/markup-compatibility/2006">
      <mc:Choice Requires="x14">
        <control shapeId="1034" r:id="rId88" name="Control 10">
          <controlPr defaultSize="0" autoPict="0" r:id="rId89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34" r:id="rId88" name="Control 10"/>
      </mc:Fallback>
    </mc:AlternateContent>
    <mc:AlternateContent xmlns:mc="http://schemas.openxmlformats.org/markup-compatibility/2006">
      <mc:Choice Requires="x14">
        <control shapeId="1033" r:id="rId90" name="Control 9">
          <controlPr defaultSize="0" autoPict="0" r:id="rId91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33" r:id="rId90" name="Control 9"/>
      </mc:Fallback>
    </mc:AlternateContent>
    <mc:AlternateContent xmlns:mc="http://schemas.openxmlformats.org/markup-compatibility/2006">
      <mc:Choice Requires="x14">
        <control shapeId="1032" r:id="rId92" name="Control 8">
          <controlPr defaultSize="0" autoPict="0" r:id="rId93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32" r:id="rId92" name="Control 8"/>
      </mc:Fallback>
    </mc:AlternateContent>
    <mc:AlternateContent xmlns:mc="http://schemas.openxmlformats.org/markup-compatibility/2006">
      <mc:Choice Requires="x14">
        <control shapeId="1031" r:id="rId94" name="Control 7">
          <controlPr defaultSize="0" autoPict="0" r:id="rId95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31" r:id="rId94" name="Control 7"/>
      </mc:Fallback>
    </mc:AlternateContent>
    <mc:AlternateContent xmlns:mc="http://schemas.openxmlformats.org/markup-compatibility/2006">
      <mc:Choice Requires="x14">
        <control shapeId="1030" r:id="rId96" name="Control 6">
          <controlPr defaultSize="0" autoPict="0" r:id="rId97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30" r:id="rId96" name="Control 6"/>
      </mc:Fallback>
    </mc:AlternateContent>
    <mc:AlternateContent xmlns:mc="http://schemas.openxmlformats.org/markup-compatibility/2006">
      <mc:Choice Requires="x14">
        <control shapeId="1029" r:id="rId98" name="Control 5">
          <controlPr defaultSize="0" autoPict="0" r:id="rId99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29" r:id="rId98" name="Control 5"/>
      </mc:Fallback>
    </mc:AlternateContent>
    <mc:AlternateContent xmlns:mc="http://schemas.openxmlformats.org/markup-compatibility/2006">
      <mc:Choice Requires="x14">
        <control shapeId="1028" r:id="rId100" name="Control 4">
          <controlPr defaultSize="0" autoPict="0" r:id="rId101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28" r:id="rId100" name="Control 4"/>
      </mc:Fallback>
    </mc:AlternateContent>
    <mc:AlternateContent xmlns:mc="http://schemas.openxmlformats.org/markup-compatibility/2006">
      <mc:Choice Requires="x14">
        <control shapeId="1027" r:id="rId102" name="Control 3">
          <controlPr defaultSize="0" autoPict="0" r:id="rId103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27" r:id="rId102" name="Control 3"/>
      </mc:Fallback>
    </mc:AlternateContent>
    <mc:AlternateContent xmlns:mc="http://schemas.openxmlformats.org/markup-compatibility/2006">
      <mc:Choice Requires="x14">
        <control shapeId="1026" r:id="rId104" name="Control 2">
          <controlPr defaultSize="0" autoPict="0" r:id="rId105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26" r:id="rId104" name="Control 2"/>
      </mc:Fallback>
    </mc:AlternateContent>
    <mc:AlternateContent xmlns:mc="http://schemas.openxmlformats.org/markup-compatibility/2006">
      <mc:Choice Requires="x14">
        <control shapeId="1025" r:id="rId106" name="Control 1">
          <controlPr defaultSize="0" autoPict="0" r:id="rId107">
            <anchor moveWithCells="1">
              <from>
                <xdr:col>0</xdr:col>
                <xdr:colOff>0</xdr:colOff>
                <xdr:row>45</xdr:row>
                <xdr:rowOff>66675</xdr:rowOff>
              </from>
              <to>
                <xdr:col>0</xdr:col>
                <xdr:colOff>228600</xdr:colOff>
                <xdr:row>46</xdr:row>
                <xdr:rowOff>104775</xdr:rowOff>
              </to>
            </anchor>
          </controlPr>
        </control>
      </mc:Choice>
      <mc:Fallback>
        <control shapeId="1025" r:id="rId10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2026-03-03T14:18:15Z</dcterms:modified>
</cp:coreProperties>
</file>